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ros\Desktop\TRPG_JigTool\パラメータ自動割り振り\"/>
    </mc:Choice>
  </mc:AlternateContent>
  <xr:revisionPtr revIDLastSave="0" documentId="13_ncr:1_{C1432235-50CB-439F-9D5B-5E4B2AD54E46}" xr6:coauthVersionLast="47" xr6:coauthVersionMax="47" xr10:uidLastSave="{00000000-0000-0000-0000-000000000000}"/>
  <bookViews>
    <workbookView xWindow="-110" yWindow="-110" windowWidth="19420" windowHeight="10560" xr2:uid="{AA9CF30C-A409-4B79-88A2-5FCBE71B8122}"/>
  </bookViews>
  <sheets>
    <sheet name="ランダム表" sheetId="8" r:id="rId1"/>
    <sheet name="(作成中)能力値自動割り振り" sheetId="9" r:id="rId2"/>
    <sheet name="期待値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9" l="1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8" i="9"/>
  <c r="D16" i="9"/>
  <c r="E16" i="9" s="1"/>
  <c r="D4" i="9"/>
  <c r="E4" i="9"/>
  <c r="F4" i="9"/>
  <c r="G4" i="9"/>
  <c r="H4" i="9"/>
  <c r="I4" i="9"/>
  <c r="J4" i="9"/>
  <c r="C4" i="9"/>
  <c r="E5" i="9"/>
  <c r="E9" i="9"/>
  <c r="E10" i="9"/>
  <c r="E11" i="9"/>
  <c r="E12" i="9"/>
  <c r="E13" i="9"/>
  <c r="E14" i="9"/>
  <c r="E15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8" i="9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J26" i="8"/>
  <c r="I26" i="8"/>
  <c r="H26" i="8"/>
  <c r="G26" i="8"/>
  <c r="F26" i="8"/>
  <c r="E26" i="8"/>
  <c r="D26" i="8"/>
  <c r="C26" i="8"/>
  <c r="J25" i="8"/>
  <c r="I25" i="8"/>
  <c r="H25" i="8"/>
  <c r="G25" i="8"/>
  <c r="F25" i="8"/>
  <c r="E25" i="8"/>
  <c r="D25" i="8"/>
  <c r="C25" i="8"/>
  <c r="J24" i="8"/>
  <c r="I24" i="8"/>
  <c r="H24" i="8"/>
  <c r="G24" i="8"/>
  <c r="F24" i="8"/>
  <c r="E24" i="8"/>
  <c r="D24" i="8"/>
  <c r="C24" i="8"/>
  <c r="J23" i="8"/>
  <c r="I23" i="8"/>
  <c r="H23" i="8"/>
  <c r="G23" i="8"/>
  <c r="F23" i="8"/>
  <c r="E23" i="8"/>
  <c r="D23" i="8"/>
  <c r="C23" i="8"/>
  <c r="J22" i="8"/>
  <c r="I22" i="8"/>
  <c r="H22" i="8"/>
  <c r="G22" i="8"/>
  <c r="F22" i="8"/>
  <c r="E22" i="8"/>
  <c r="D22" i="8"/>
  <c r="C22" i="8"/>
  <c r="J21" i="8"/>
  <c r="I21" i="8"/>
  <c r="H21" i="8"/>
  <c r="G21" i="8"/>
  <c r="F21" i="8"/>
  <c r="E21" i="8"/>
  <c r="D21" i="8"/>
  <c r="C21" i="8"/>
  <c r="J20" i="8"/>
  <c r="I20" i="8"/>
  <c r="H20" i="8"/>
  <c r="G20" i="8"/>
  <c r="F20" i="8"/>
  <c r="E20" i="8"/>
  <c r="D20" i="8"/>
  <c r="C20" i="8"/>
  <c r="J19" i="8"/>
  <c r="I19" i="8"/>
  <c r="H19" i="8"/>
  <c r="G19" i="8"/>
  <c r="F19" i="8"/>
  <c r="E19" i="8"/>
  <c r="D19" i="8"/>
  <c r="C19" i="8"/>
  <c r="J18" i="8"/>
  <c r="I18" i="8"/>
  <c r="H18" i="8"/>
  <c r="G18" i="8"/>
  <c r="F18" i="8"/>
  <c r="E18" i="8"/>
  <c r="D18" i="8"/>
  <c r="C18" i="8"/>
  <c r="J17" i="8"/>
  <c r="I17" i="8"/>
  <c r="H17" i="8"/>
  <c r="G17" i="8"/>
  <c r="F17" i="8"/>
  <c r="E17" i="8"/>
  <c r="D17" i="8"/>
  <c r="C17" i="8"/>
  <c r="J16" i="8"/>
  <c r="I16" i="8"/>
  <c r="H16" i="8"/>
  <c r="G16" i="8"/>
  <c r="F16" i="8"/>
  <c r="E16" i="8"/>
  <c r="D16" i="8"/>
  <c r="C16" i="8"/>
  <c r="J15" i="8"/>
  <c r="I15" i="8"/>
  <c r="H15" i="8"/>
  <c r="G15" i="8"/>
  <c r="F15" i="8"/>
  <c r="E15" i="8"/>
  <c r="D15" i="8"/>
  <c r="C15" i="8"/>
  <c r="J14" i="8"/>
  <c r="I14" i="8"/>
  <c r="H14" i="8"/>
  <c r="G14" i="8"/>
  <c r="F14" i="8"/>
  <c r="E14" i="8"/>
  <c r="D14" i="8"/>
  <c r="C14" i="8"/>
  <c r="J13" i="8"/>
  <c r="I13" i="8"/>
  <c r="H13" i="8"/>
  <c r="G13" i="8"/>
  <c r="F13" i="8"/>
  <c r="E13" i="8"/>
  <c r="D13" i="8"/>
  <c r="C13" i="8"/>
  <c r="J12" i="8"/>
  <c r="I12" i="8"/>
  <c r="H12" i="8"/>
  <c r="G12" i="8"/>
  <c r="F12" i="8"/>
  <c r="E12" i="8"/>
  <c r="D12" i="8"/>
  <c r="C12" i="8"/>
  <c r="J11" i="8"/>
  <c r="I11" i="8"/>
  <c r="H11" i="8"/>
  <c r="G11" i="8"/>
  <c r="F11" i="8"/>
  <c r="E11" i="8"/>
  <c r="D11" i="8"/>
  <c r="C11" i="8"/>
  <c r="J10" i="8"/>
  <c r="I10" i="8"/>
  <c r="H10" i="8"/>
  <c r="G10" i="8"/>
  <c r="F10" i="8"/>
  <c r="E10" i="8"/>
  <c r="D10" i="8"/>
  <c r="C10" i="8"/>
  <c r="J9" i="8"/>
  <c r="I9" i="8"/>
  <c r="H9" i="8"/>
  <c r="G9" i="8"/>
  <c r="F9" i="8"/>
  <c r="E9" i="8"/>
  <c r="D9" i="8"/>
  <c r="C9" i="8"/>
  <c r="J8" i="8"/>
  <c r="I8" i="8"/>
  <c r="H8" i="8"/>
  <c r="G8" i="8"/>
  <c r="F8" i="8"/>
  <c r="E8" i="8"/>
  <c r="D8" i="8"/>
  <c r="C8" i="8"/>
  <c r="J7" i="8"/>
  <c r="I7" i="8"/>
  <c r="H7" i="8"/>
  <c r="G7" i="8"/>
  <c r="F7" i="8"/>
  <c r="E7" i="8"/>
  <c r="D7" i="8"/>
  <c r="C7" i="8"/>
  <c r="J6" i="8"/>
  <c r="I6" i="8"/>
  <c r="H6" i="8"/>
  <c r="G6" i="8"/>
  <c r="F6" i="8"/>
  <c r="E6" i="8"/>
  <c r="D6" i="8"/>
  <c r="C6" i="8"/>
  <c r="J5" i="8"/>
  <c r="I5" i="8"/>
  <c r="H5" i="8"/>
  <c r="G5" i="8"/>
  <c r="F5" i="8"/>
  <c r="E5" i="8"/>
  <c r="D5" i="8"/>
  <c r="C5" i="8"/>
  <c r="J4" i="8"/>
  <c r="I4" i="8"/>
  <c r="H4" i="8"/>
  <c r="G4" i="8"/>
  <c r="F4" i="8"/>
  <c r="E4" i="8"/>
  <c r="D4" i="8"/>
  <c r="C4" i="8"/>
  <c r="J3" i="8"/>
  <c r="I3" i="8"/>
  <c r="H3" i="8"/>
  <c r="G3" i="8"/>
  <c r="F3" i="8"/>
  <c r="E3" i="8"/>
  <c r="D3" i="8"/>
  <c r="C3" i="8"/>
  <c r="J2" i="8"/>
  <c r="I2" i="8"/>
  <c r="H2" i="8"/>
  <c r="G2" i="8"/>
  <c r="F2" i="8"/>
  <c r="E2" i="8"/>
  <c r="D2" i="8"/>
  <c r="C2" i="8"/>
  <c r="F23" i="6"/>
  <c r="E9" i="6"/>
  <c r="E10" i="6"/>
  <c r="E11" i="6"/>
  <c r="E12" i="6"/>
  <c r="E13" i="6"/>
  <c r="E14" i="6"/>
  <c r="E15" i="6"/>
  <c r="E16" i="6"/>
  <c r="E17" i="6"/>
  <c r="E18" i="6"/>
  <c r="E8" i="6"/>
  <c r="G2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3" i="6"/>
  <c r="B19" i="6"/>
  <c r="H19" i="6"/>
  <c r="I3" i="6" s="1"/>
  <c r="J3" i="6" s="1"/>
  <c r="M8" i="9" l="1"/>
  <c r="M50" i="9"/>
  <c r="M43" i="9"/>
  <c r="M27" i="9"/>
  <c r="M11" i="9"/>
  <c r="M53" i="9"/>
  <c r="M21" i="9"/>
  <c r="M52" i="9"/>
  <c r="M36" i="9"/>
  <c r="M20" i="9"/>
  <c r="M37" i="9"/>
  <c r="M51" i="9"/>
  <c r="M35" i="9"/>
  <c r="M19" i="9"/>
  <c r="M34" i="9"/>
  <c r="M18" i="9"/>
  <c r="M49" i="9"/>
  <c r="M33" i="9"/>
  <c r="M17" i="9"/>
  <c r="M48" i="9"/>
  <c r="M32" i="9"/>
  <c r="M16" i="9"/>
  <c r="M46" i="9"/>
  <c r="M30" i="9"/>
  <c r="M14" i="9"/>
  <c r="M45" i="9"/>
  <c r="M58" i="9"/>
  <c r="M42" i="9"/>
  <c r="M26" i="9"/>
  <c r="M10" i="9"/>
  <c r="M57" i="9"/>
  <c r="M41" i="9"/>
  <c r="M25" i="9"/>
  <c r="M9" i="9"/>
  <c r="M56" i="9"/>
  <c r="M40" i="9"/>
  <c r="M24" i="9"/>
  <c r="M55" i="9"/>
  <c r="M39" i="9"/>
  <c r="M23" i="9"/>
  <c r="M54" i="9"/>
  <c r="M38" i="9"/>
  <c r="M12" i="9"/>
  <c r="M44" i="9"/>
  <c r="M13" i="9"/>
  <c r="M29" i="9"/>
  <c r="M28" i="9"/>
  <c r="M15" i="9"/>
  <c r="M31" i="9"/>
  <c r="M47" i="9"/>
  <c r="M22" i="9"/>
  <c r="C5" i="9"/>
  <c r="N53" i="9"/>
  <c r="N37" i="9"/>
  <c r="N54" i="9"/>
  <c r="N38" i="9"/>
  <c r="N22" i="9"/>
  <c r="N52" i="9"/>
  <c r="N36" i="9"/>
  <c r="N20" i="9"/>
  <c r="N35" i="9"/>
  <c r="N19" i="9"/>
  <c r="N34" i="9"/>
  <c r="N18" i="9"/>
  <c r="N49" i="9"/>
  <c r="N33" i="9"/>
  <c r="N17" i="9"/>
  <c r="N48" i="9"/>
  <c r="N32" i="9"/>
  <c r="N16" i="9"/>
  <c r="N47" i="9"/>
  <c r="N31" i="9"/>
  <c r="N15" i="9"/>
  <c r="N46" i="9"/>
  <c r="N30" i="9"/>
  <c r="N14" i="9"/>
  <c r="N45" i="9"/>
  <c r="N29" i="9"/>
  <c r="N13" i="9"/>
  <c r="N44" i="9"/>
  <c r="N28" i="9"/>
  <c r="N12" i="9"/>
  <c r="N43" i="9"/>
  <c r="N27" i="9"/>
  <c r="N11" i="9"/>
  <c r="N42" i="9"/>
  <c r="N26" i="9"/>
  <c r="N10" i="9"/>
  <c r="N57" i="9"/>
  <c r="N41" i="9"/>
  <c r="N25" i="9"/>
  <c r="N9" i="9"/>
  <c r="N40" i="9"/>
  <c r="N24" i="9"/>
  <c r="N55" i="9"/>
  <c r="N39" i="9"/>
  <c r="N23" i="9"/>
  <c r="N56" i="9"/>
  <c r="N21" i="9"/>
  <c r="N51" i="9"/>
  <c r="N50" i="9"/>
  <c r="N8" i="9"/>
  <c r="N58" i="9"/>
  <c r="M12" i="8"/>
  <c r="M20" i="8"/>
  <c r="L19" i="8"/>
  <c r="L12" i="8"/>
  <c r="L14" i="8"/>
  <c r="L15" i="8"/>
  <c r="L16" i="8"/>
  <c r="L17" i="8"/>
  <c r="L18" i="8"/>
  <c r="M3" i="8"/>
  <c r="M5" i="8"/>
  <c r="M7" i="8"/>
  <c r="M9" i="8"/>
  <c r="M11" i="8"/>
  <c r="M13" i="8"/>
  <c r="M15" i="8"/>
  <c r="M17" i="8"/>
  <c r="M19" i="8"/>
  <c r="M21" i="8"/>
  <c r="M23" i="8"/>
  <c r="M25" i="8"/>
  <c r="L5" i="8"/>
  <c r="L21" i="8"/>
  <c r="L6" i="8"/>
  <c r="L22" i="8"/>
  <c r="L7" i="8"/>
  <c r="L23" i="8"/>
  <c r="L20" i="8"/>
  <c r="L8" i="8"/>
  <c r="L24" i="8"/>
  <c r="L9" i="8"/>
  <c r="L25" i="8"/>
  <c r="L10" i="8"/>
  <c r="L26" i="8"/>
  <c r="L11" i="8"/>
  <c r="M6" i="8"/>
  <c r="M8" i="8"/>
  <c r="M10" i="8"/>
  <c r="M14" i="8"/>
  <c r="M16" i="8"/>
  <c r="M18" i="8"/>
  <c r="M22" i="8"/>
  <c r="M24" i="8"/>
  <c r="M26" i="8"/>
  <c r="L13" i="8"/>
  <c r="M2" i="8"/>
  <c r="M4" i="8"/>
  <c r="L3" i="8"/>
  <c r="L4" i="8"/>
  <c r="L2" i="8"/>
  <c r="K17" i="8"/>
  <c r="K14" i="8"/>
  <c r="K15" i="8"/>
  <c r="K16" i="8"/>
  <c r="K18" i="8"/>
  <c r="K3" i="8"/>
  <c r="K19" i="8"/>
  <c r="K4" i="8"/>
  <c r="K20" i="8"/>
  <c r="K5" i="8"/>
  <c r="K21" i="8"/>
  <c r="K6" i="8"/>
  <c r="K22" i="8"/>
  <c r="K7" i="8"/>
  <c r="K23" i="8"/>
  <c r="K8" i="8"/>
  <c r="K24" i="8"/>
  <c r="K9" i="8"/>
  <c r="K25" i="8"/>
  <c r="K10" i="8"/>
  <c r="K26" i="8"/>
  <c r="K11" i="8"/>
  <c r="K12" i="8"/>
  <c r="K13" i="8"/>
  <c r="K2" i="8"/>
  <c r="I18" i="6"/>
  <c r="J18" i="6" s="1"/>
  <c r="I15" i="6"/>
  <c r="J15" i="6" s="1"/>
  <c r="I16" i="6"/>
  <c r="J16" i="6" s="1"/>
  <c r="I14" i="6"/>
  <c r="J14" i="6" s="1"/>
  <c r="I13" i="6"/>
  <c r="J13" i="6" s="1"/>
  <c r="I17" i="6"/>
  <c r="J17" i="6" s="1"/>
  <c r="I12" i="6"/>
  <c r="J12" i="6" s="1"/>
  <c r="I11" i="6"/>
  <c r="J11" i="6" s="1"/>
  <c r="I9" i="6"/>
  <c r="J9" i="6" s="1"/>
  <c r="I7" i="6"/>
  <c r="J7" i="6" s="1"/>
  <c r="I10" i="6"/>
  <c r="J10" i="6" s="1"/>
  <c r="I8" i="6"/>
  <c r="J8" i="6" s="1"/>
  <c r="I6" i="6"/>
  <c r="J6" i="6" s="1"/>
  <c r="I5" i="6"/>
  <c r="J5" i="6" s="1"/>
  <c r="I4" i="6"/>
  <c r="J4" i="6" s="1"/>
  <c r="J19" i="6" l="1"/>
  <c r="K19" i="6" s="1"/>
  <c r="I19" i="6"/>
</calcChain>
</file>

<file path=xl/sharedStrings.xml><?xml version="1.0" encoding="utf-8"?>
<sst xmlns="http://schemas.openxmlformats.org/spreadsheetml/2006/main" count="99" uniqueCount="85">
  <si>
    <t>STR(筋力)</t>
  </si>
  <si>
    <t>CON(体力)</t>
  </si>
  <si>
    <t>POW(精神力)</t>
  </si>
  <si>
    <t>DEX(敏捷性)</t>
  </si>
  <si>
    <t>APP(外見)</t>
  </si>
  <si>
    <t>SIZ(体格)</t>
  </si>
  <si>
    <t>INT(知性)</t>
  </si>
  <si>
    <t>EDU(教育)</t>
  </si>
  <si>
    <t>LUK(幸運)</t>
  </si>
  <si>
    <t>sum</t>
    <phoneticPr fontId="1"/>
  </si>
  <si>
    <t>■サイコロ3つの場合</t>
    <rPh sb="8" eb="10">
      <t>バアイ</t>
    </rPh>
    <phoneticPr fontId="1"/>
  </si>
  <si>
    <t>■サイコロ2つの場合</t>
    <rPh sb="8" eb="10">
      <t>バアイ</t>
    </rPh>
    <phoneticPr fontId="1"/>
  </si>
  <si>
    <t>確率</t>
    <rPh sb="0" eb="2">
      <t>カクリツ</t>
    </rPh>
    <phoneticPr fontId="1"/>
  </si>
  <si>
    <t>能力値の期待値</t>
    <rPh sb="0" eb="3">
      <t>ノウリョクチ</t>
    </rPh>
    <rPh sb="4" eb="7">
      <t>キタイチ</t>
    </rPh>
    <phoneticPr fontId="1"/>
  </si>
  <si>
    <t>理論最大</t>
    <rPh sb="0" eb="4">
      <t>リロンサイダイ</t>
    </rPh>
    <phoneticPr fontId="1"/>
  </si>
  <si>
    <t>最低</t>
    <rPh sb="0" eb="2">
      <t>サイテイ</t>
    </rPh>
    <phoneticPr fontId="1"/>
  </si>
  <si>
    <t>能力値</t>
    <rPh sb="0" eb="3">
      <t>ノウリョクチ</t>
    </rPh>
    <phoneticPr fontId="1"/>
  </si>
  <si>
    <t>ばらつき　3d</t>
    <phoneticPr fontId="1"/>
  </si>
  <si>
    <t>ばらつき　2d+6</t>
    <phoneticPr fontId="1"/>
  </si>
  <si>
    <t>No</t>
    <phoneticPr fontId="1"/>
  </si>
  <si>
    <t>威圧</t>
  </si>
  <si>
    <t>言いくるめ</t>
  </si>
  <si>
    <t>医学</t>
  </si>
  <si>
    <t>運転（自動車）</t>
  </si>
  <si>
    <t>運転</t>
  </si>
  <si>
    <t>応急手当</t>
  </si>
  <si>
    <t>オカルト</t>
  </si>
  <si>
    <t>隠密</t>
  </si>
  <si>
    <t>回避</t>
  </si>
  <si>
    <t>科学</t>
  </si>
  <si>
    <t>鍵開け</t>
  </si>
  <si>
    <t>鑑定</t>
  </si>
  <si>
    <t>機械修理</t>
  </si>
  <si>
    <t>聞き耳</t>
  </si>
  <si>
    <t>近接戦闘（格闘）</t>
  </si>
  <si>
    <t>近接戦闘</t>
  </si>
  <si>
    <t>クトゥルフ神話</t>
  </si>
  <si>
    <t>芸術／製作</t>
  </si>
  <si>
    <t>経理</t>
  </si>
  <si>
    <t>考古学</t>
  </si>
  <si>
    <t>コンピューター</t>
  </si>
  <si>
    <t>サバイバル</t>
  </si>
  <si>
    <t>自然</t>
  </si>
  <si>
    <t>射撃（拳銃）</t>
  </si>
  <si>
    <t>射撃（ライフル／ショットガン）</t>
  </si>
  <si>
    <t>射撃</t>
  </si>
  <si>
    <t>重機械操作</t>
  </si>
  <si>
    <t>乗馬</t>
  </si>
  <si>
    <t>信用</t>
  </si>
  <si>
    <t>心理学</t>
  </si>
  <si>
    <t>人類学</t>
  </si>
  <si>
    <t>水泳</t>
  </si>
  <si>
    <t>精神分析</t>
  </si>
  <si>
    <t>説得</t>
  </si>
  <si>
    <t>操縦</t>
  </si>
  <si>
    <t>跳躍</t>
  </si>
  <si>
    <t>追跡</t>
  </si>
  <si>
    <t>手さばき</t>
  </si>
  <si>
    <t>電気修理</t>
  </si>
  <si>
    <t>電子工学</t>
  </si>
  <si>
    <t>投擲</t>
  </si>
  <si>
    <t>登攀</t>
  </si>
  <si>
    <t>図書館</t>
  </si>
  <si>
    <t>ナビゲート</t>
  </si>
  <si>
    <t>変装</t>
  </si>
  <si>
    <t>法律</t>
  </si>
  <si>
    <t>ほかの言語</t>
  </si>
  <si>
    <t>母国語</t>
  </si>
  <si>
    <t>魅惑</t>
  </si>
  <si>
    <t>目星</t>
  </si>
  <si>
    <t>歴史</t>
  </si>
  <si>
    <t>成長</t>
  </si>
  <si>
    <t>技能（五十音順）</t>
  </si>
  <si>
    <t>初期値</t>
  </si>
  <si>
    <t>職業P</t>
  </si>
  <si>
    <t>興味P</t>
  </si>
  <si>
    <t>その他</t>
  </si>
  <si>
    <t>合計</t>
  </si>
  <si>
    <t>割振り可能</t>
    <rPh sb="0" eb="2">
      <t>ワリフ</t>
    </rPh>
    <rPh sb="3" eb="5">
      <t>カノウ</t>
    </rPh>
    <phoneticPr fontId="1"/>
  </si>
  <si>
    <t>職業ポイント</t>
    <rPh sb="0" eb="2">
      <t>ショクギョウ</t>
    </rPh>
    <phoneticPr fontId="1"/>
  </si>
  <si>
    <t>興味</t>
    <rPh sb="0" eb="2">
      <t>キョウミ</t>
    </rPh>
    <phoneticPr fontId="1"/>
  </si>
  <si>
    <t>ランダム</t>
    <phoneticPr fontId="1"/>
  </si>
  <si>
    <t>順位</t>
    <rPh sb="0" eb="2">
      <t>ジュンイ</t>
    </rPh>
    <phoneticPr fontId="1"/>
  </si>
  <si>
    <t>優先</t>
    <rPh sb="0" eb="2">
      <t>ユウセン</t>
    </rPh>
    <phoneticPr fontId="1"/>
  </si>
  <si>
    <t>MAX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</si>
</sst>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1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2" fontId="0" fillId="0" borderId="0" xfId="1" applyNumberFormat="1" applyFont="1">
      <alignment vertical="center"/>
    </xf>
    <xf numFmtId="0" fontId="4" fillId="0" borderId="0" xfId="2">
      <alignment vertical="center"/>
    </xf>
  </cellXfs>
  <cellStyles count="3">
    <cellStyle name="パーセント" xfId="1" builtinId="5"/>
    <cellStyle name="ハイパーリンク" xfId="2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合計値</a:t>
            </a:r>
            <a:r>
              <a:rPr lang="en-US" altLang="ja-JP"/>
              <a:t>(</a:t>
            </a:r>
            <a:r>
              <a:rPr lang="ja-JP" altLang="en-US"/>
              <a:t>水色</a:t>
            </a:r>
            <a:r>
              <a:rPr lang="en-US" altLang="ja-JP"/>
              <a:t>)</a:t>
            </a:r>
            <a:r>
              <a:rPr lang="ja-JP" altLang="en-US"/>
              <a:t>とばらつき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ランダム表!$K$1</c:f>
              <c:strCache>
                <c:ptCount val="1"/>
                <c:pt idx="0">
                  <c:v>sum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ランダム表!$K$2:$K$26</c:f>
              <c:numCache>
                <c:formatCode>General</c:formatCode>
                <c:ptCount val="25"/>
                <c:pt idx="0">
                  <c:v>540</c:v>
                </c:pt>
                <c:pt idx="1">
                  <c:v>510</c:v>
                </c:pt>
                <c:pt idx="2">
                  <c:v>535</c:v>
                </c:pt>
                <c:pt idx="3">
                  <c:v>520</c:v>
                </c:pt>
                <c:pt idx="4">
                  <c:v>490</c:v>
                </c:pt>
                <c:pt idx="5">
                  <c:v>460</c:v>
                </c:pt>
                <c:pt idx="6">
                  <c:v>490</c:v>
                </c:pt>
                <c:pt idx="7">
                  <c:v>485</c:v>
                </c:pt>
                <c:pt idx="8">
                  <c:v>485</c:v>
                </c:pt>
                <c:pt idx="9">
                  <c:v>555</c:v>
                </c:pt>
                <c:pt idx="10">
                  <c:v>600</c:v>
                </c:pt>
                <c:pt idx="11">
                  <c:v>560</c:v>
                </c:pt>
                <c:pt idx="12">
                  <c:v>510</c:v>
                </c:pt>
                <c:pt idx="13">
                  <c:v>490</c:v>
                </c:pt>
                <c:pt idx="14">
                  <c:v>435</c:v>
                </c:pt>
                <c:pt idx="15">
                  <c:v>555</c:v>
                </c:pt>
                <c:pt idx="16">
                  <c:v>455</c:v>
                </c:pt>
                <c:pt idx="17">
                  <c:v>500</c:v>
                </c:pt>
                <c:pt idx="18">
                  <c:v>550</c:v>
                </c:pt>
                <c:pt idx="19">
                  <c:v>540</c:v>
                </c:pt>
                <c:pt idx="20">
                  <c:v>510</c:v>
                </c:pt>
                <c:pt idx="21">
                  <c:v>565</c:v>
                </c:pt>
                <c:pt idx="22">
                  <c:v>575</c:v>
                </c:pt>
                <c:pt idx="23">
                  <c:v>520</c:v>
                </c:pt>
                <c:pt idx="24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B-48A7-A010-426CF44A4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538344"/>
        <c:axId val="820538704"/>
      </c:lineChart>
      <c:lineChart>
        <c:grouping val="standard"/>
        <c:varyColors val="0"/>
        <c:ser>
          <c:idx val="1"/>
          <c:order val="1"/>
          <c:tx>
            <c:strRef>
              <c:f>ランダム表!$L$1</c:f>
              <c:strCache>
                <c:ptCount val="1"/>
                <c:pt idx="0">
                  <c:v>ばらつき　3d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ランダム表!$L$2:$L$26</c:f>
              <c:numCache>
                <c:formatCode>0</c:formatCode>
                <c:ptCount val="25"/>
                <c:pt idx="0">
                  <c:v>6.8718427093627676</c:v>
                </c:pt>
                <c:pt idx="1">
                  <c:v>16.180406532456331</c:v>
                </c:pt>
                <c:pt idx="2">
                  <c:v>12.472191289246471</c:v>
                </c:pt>
                <c:pt idx="3">
                  <c:v>10.671873729054747</c:v>
                </c:pt>
                <c:pt idx="4">
                  <c:v>15.184055965240498</c:v>
                </c:pt>
                <c:pt idx="5">
                  <c:v>11.055415967851333</c:v>
                </c:pt>
                <c:pt idx="6">
                  <c:v>9.8601329718326944</c:v>
                </c:pt>
                <c:pt idx="7">
                  <c:v>13.743685418725535</c:v>
                </c:pt>
                <c:pt idx="8">
                  <c:v>16.435902436096683</c:v>
                </c:pt>
                <c:pt idx="9">
                  <c:v>10.671873729054747</c:v>
                </c:pt>
                <c:pt idx="10">
                  <c:v>5.3359368645273735</c:v>
                </c:pt>
                <c:pt idx="11">
                  <c:v>16.935334527417979</c:v>
                </c:pt>
                <c:pt idx="12">
                  <c:v>6.4549722436790278</c:v>
                </c:pt>
                <c:pt idx="13">
                  <c:v>9.574271077563381</c:v>
                </c:pt>
                <c:pt idx="14">
                  <c:v>9.7539165922663535</c:v>
                </c:pt>
                <c:pt idx="15">
                  <c:v>14.624940645653536</c:v>
                </c:pt>
                <c:pt idx="16">
                  <c:v>14.648663192705788</c:v>
                </c:pt>
                <c:pt idx="17">
                  <c:v>18.181186857726189</c:v>
                </c:pt>
                <c:pt idx="18">
                  <c:v>14.264368973853076</c:v>
                </c:pt>
                <c:pt idx="19">
                  <c:v>13.228756555322953</c:v>
                </c:pt>
                <c:pt idx="20">
                  <c:v>18.633899812498246</c:v>
                </c:pt>
                <c:pt idx="21">
                  <c:v>12.162099599438687</c:v>
                </c:pt>
                <c:pt idx="22">
                  <c:v>12.583057392117917</c:v>
                </c:pt>
                <c:pt idx="23">
                  <c:v>9.8952850725315979</c:v>
                </c:pt>
                <c:pt idx="24">
                  <c:v>10.172129679778086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CE-4678-9498-A75C2B28BAC2}"/>
            </c:ext>
          </c:extLst>
        </c:ser>
        <c:ser>
          <c:idx val="2"/>
          <c:order val="2"/>
          <c:tx>
            <c:strRef>
              <c:f>ランダム表!$M$1</c:f>
              <c:strCache>
                <c:ptCount val="1"/>
                <c:pt idx="0">
                  <c:v>ばらつき　2d+6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ランダム表!$M$2:$M$26</c:f>
              <c:numCache>
                <c:formatCode>0</c:formatCode>
                <c:ptCount val="25"/>
                <c:pt idx="0">
                  <c:v>4.7140452079103161</c:v>
                </c:pt>
                <c:pt idx="1">
                  <c:v>8.4983658559879753</c:v>
                </c:pt>
                <c:pt idx="2">
                  <c:v>4.7140452079103161</c:v>
                </c:pt>
                <c:pt idx="3">
                  <c:v>6.2360956446232363</c:v>
                </c:pt>
                <c:pt idx="4">
                  <c:v>17.795130420052185</c:v>
                </c:pt>
                <c:pt idx="5">
                  <c:v>9.428090415820634</c:v>
                </c:pt>
                <c:pt idx="6">
                  <c:v>4.7140452079103161</c:v>
                </c:pt>
                <c:pt idx="7">
                  <c:v>4.0824829046386304</c:v>
                </c:pt>
                <c:pt idx="8">
                  <c:v>7.0710678118654755</c:v>
                </c:pt>
                <c:pt idx="9">
                  <c:v>6.2360956446232354</c:v>
                </c:pt>
                <c:pt idx="10">
                  <c:v>10.274023338281628</c:v>
                </c:pt>
                <c:pt idx="11">
                  <c:v>10.274023338281628</c:v>
                </c:pt>
                <c:pt idx="12">
                  <c:v>8.1649658092772608</c:v>
                </c:pt>
                <c:pt idx="13">
                  <c:v>6.2360956446232354</c:v>
                </c:pt>
                <c:pt idx="14">
                  <c:v>6.2360956446232363</c:v>
                </c:pt>
                <c:pt idx="15">
                  <c:v>14.337208778404378</c:v>
                </c:pt>
                <c:pt idx="16">
                  <c:v>6.2360956446232354</c:v>
                </c:pt>
                <c:pt idx="17">
                  <c:v>6.2360956446232354</c:v>
                </c:pt>
                <c:pt idx="18">
                  <c:v>6.2360956446232363</c:v>
                </c:pt>
                <c:pt idx="19">
                  <c:v>4.0824829046386304</c:v>
                </c:pt>
                <c:pt idx="20">
                  <c:v>9.428090415820634</c:v>
                </c:pt>
                <c:pt idx="21">
                  <c:v>6.2360956446232363</c:v>
                </c:pt>
                <c:pt idx="22">
                  <c:v>15.456030825826172</c:v>
                </c:pt>
                <c:pt idx="23">
                  <c:v>10.274023338281628</c:v>
                </c:pt>
                <c:pt idx="24">
                  <c:v>18.408935028645434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CE-4678-9498-A75C2B28B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0779048"/>
        <c:axId val="810780488"/>
      </c:lineChart>
      <c:catAx>
        <c:axId val="820538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538704"/>
        <c:crosses val="autoZero"/>
        <c:auto val="1"/>
        <c:lblAlgn val="ctr"/>
        <c:lblOffset val="100"/>
        <c:noMultiLvlLbl val="0"/>
      </c:catAx>
      <c:valAx>
        <c:axId val="820538704"/>
        <c:scaling>
          <c:orientation val="minMax"/>
          <c:max val="810"/>
          <c:min val="21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12700" cap="flat" cmpd="sng" algn="ctr">
              <a:solidFill>
                <a:schemeClr val="tx1"/>
              </a:solidFill>
              <a:prstDash val="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538344"/>
        <c:crosses val="autoZero"/>
        <c:crossBetween val="between"/>
        <c:majorUnit val="150"/>
        <c:minorUnit val="100"/>
      </c:valAx>
      <c:valAx>
        <c:axId val="810780488"/>
        <c:scaling>
          <c:orientation val="minMax"/>
          <c:min val="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0779048"/>
        <c:crosses val="max"/>
        <c:crossBetween val="between"/>
        <c:majorUnit val="50"/>
      </c:valAx>
      <c:catAx>
        <c:axId val="810779048"/>
        <c:scaling>
          <c:orientation val="minMax"/>
        </c:scaling>
        <c:delete val="1"/>
        <c:axPos val="b"/>
        <c:majorTickMark val="out"/>
        <c:minorTickMark val="none"/>
        <c:tickLblPos val="nextTo"/>
        <c:crossAx val="810780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各能力値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ランダム表!$B$1</c:f>
              <c:strCache>
                <c:ptCount val="1"/>
                <c:pt idx="0">
                  <c:v>STR(筋力)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ランダム表!$B$2:$B$26</c:f>
              <c:numCache>
                <c:formatCode>General</c:formatCode>
                <c:ptCount val="25"/>
                <c:pt idx="0">
                  <c:v>65</c:v>
                </c:pt>
                <c:pt idx="1">
                  <c:v>35</c:v>
                </c:pt>
                <c:pt idx="2">
                  <c:v>55</c:v>
                </c:pt>
                <c:pt idx="3">
                  <c:v>55</c:v>
                </c:pt>
                <c:pt idx="4">
                  <c:v>45</c:v>
                </c:pt>
                <c:pt idx="5">
                  <c:v>35</c:v>
                </c:pt>
                <c:pt idx="6">
                  <c:v>50</c:v>
                </c:pt>
                <c:pt idx="7">
                  <c:v>35</c:v>
                </c:pt>
                <c:pt idx="8">
                  <c:v>60</c:v>
                </c:pt>
                <c:pt idx="9">
                  <c:v>70</c:v>
                </c:pt>
                <c:pt idx="10">
                  <c:v>65</c:v>
                </c:pt>
                <c:pt idx="11">
                  <c:v>65</c:v>
                </c:pt>
                <c:pt idx="12">
                  <c:v>50</c:v>
                </c:pt>
                <c:pt idx="13">
                  <c:v>35</c:v>
                </c:pt>
                <c:pt idx="14">
                  <c:v>50</c:v>
                </c:pt>
                <c:pt idx="15">
                  <c:v>75</c:v>
                </c:pt>
                <c:pt idx="16">
                  <c:v>60</c:v>
                </c:pt>
                <c:pt idx="17">
                  <c:v>70</c:v>
                </c:pt>
                <c:pt idx="18">
                  <c:v>35</c:v>
                </c:pt>
                <c:pt idx="19">
                  <c:v>75</c:v>
                </c:pt>
                <c:pt idx="20">
                  <c:v>65</c:v>
                </c:pt>
                <c:pt idx="21">
                  <c:v>55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B-48A7-A010-426CF44A47B0}"/>
            </c:ext>
          </c:extLst>
        </c:ser>
        <c:ser>
          <c:idx val="1"/>
          <c:order val="1"/>
          <c:tx>
            <c:strRef>
              <c:f>ランダム表!$C$1</c:f>
              <c:strCache>
                <c:ptCount val="1"/>
                <c:pt idx="0">
                  <c:v>CON(体力)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ランダム表!$C$2:$C$26</c:f>
              <c:numCache>
                <c:formatCode>General</c:formatCode>
                <c:ptCount val="25"/>
                <c:pt idx="0">
                  <c:v>55</c:v>
                </c:pt>
                <c:pt idx="1">
                  <c:v>55</c:v>
                </c:pt>
                <c:pt idx="2">
                  <c:v>35</c:v>
                </c:pt>
                <c:pt idx="3">
                  <c:v>70</c:v>
                </c:pt>
                <c:pt idx="4">
                  <c:v>75</c:v>
                </c:pt>
                <c:pt idx="5">
                  <c:v>55</c:v>
                </c:pt>
                <c:pt idx="6">
                  <c:v>40</c:v>
                </c:pt>
                <c:pt idx="7">
                  <c:v>60</c:v>
                </c:pt>
                <c:pt idx="8">
                  <c:v>75</c:v>
                </c:pt>
                <c:pt idx="9">
                  <c:v>50</c:v>
                </c:pt>
                <c:pt idx="10">
                  <c:v>65</c:v>
                </c:pt>
                <c:pt idx="11">
                  <c:v>25</c:v>
                </c:pt>
                <c:pt idx="12">
                  <c:v>65</c:v>
                </c:pt>
                <c:pt idx="13">
                  <c:v>60</c:v>
                </c:pt>
                <c:pt idx="14">
                  <c:v>20</c:v>
                </c:pt>
                <c:pt idx="15">
                  <c:v>35</c:v>
                </c:pt>
                <c:pt idx="16">
                  <c:v>30</c:v>
                </c:pt>
                <c:pt idx="17">
                  <c:v>20</c:v>
                </c:pt>
                <c:pt idx="18">
                  <c:v>40</c:v>
                </c:pt>
                <c:pt idx="19">
                  <c:v>60</c:v>
                </c:pt>
                <c:pt idx="20">
                  <c:v>20</c:v>
                </c:pt>
                <c:pt idx="21">
                  <c:v>45</c:v>
                </c:pt>
                <c:pt idx="22">
                  <c:v>50</c:v>
                </c:pt>
                <c:pt idx="23">
                  <c:v>45</c:v>
                </c:pt>
                <c:pt idx="2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B-48A7-A010-426CF44A47B0}"/>
            </c:ext>
          </c:extLst>
        </c:ser>
        <c:ser>
          <c:idx val="2"/>
          <c:order val="2"/>
          <c:tx>
            <c:strRef>
              <c:f>ランダム表!$D$1</c:f>
              <c:strCache>
                <c:ptCount val="1"/>
                <c:pt idx="0">
                  <c:v>POW(精神力)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ランダム表!$D$2:$D$26</c:f>
              <c:numCache>
                <c:formatCode>General</c:formatCode>
                <c:ptCount val="25"/>
                <c:pt idx="0">
                  <c:v>65</c:v>
                </c:pt>
                <c:pt idx="1">
                  <c:v>70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  <c:pt idx="5">
                  <c:v>65</c:v>
                </c:pt>
                <c:pt idx="6">
                  <c:v>45</c:v>
                </c:pt>
                <c:pt idx="7">
                  <c:v>60</c:v>
                </c:pt>
                <c:pt idx="8">
                  <c:v>50</c:v>
                </c:pt>
                <c:pt idx="9">
                  <c:v>80</c:v>
                </c:pt>
                <c:pt idx="10">
                  <c:v>80</c:v>
                </c:pt>
                <c:pt idx="11">
                  <c:v>65</c:v>
                </c:pt>
                <c:pt idx="12">
                  <c:v>60</c:v>
                </c:pt>
                <c:pt idx="13">
                  <c:v>60</c:v>
                </c:pt>
                <c:pt idx="14">
                  <c:v>45</c:v>
                </c:pt>
                <c:pt idx="15">
                  <c:v>45</c:v>
                </c:pt>
                <c:pt idx="16">
                  <c:v>50</c:v>
                </c:pt>
                <c:pt idx="17">
                  <c:v>75</c:v>
                </c:pt>
                <c:pt idx="18">
                  <c:v>65</c:v>
                </c:pt>
                <c:pt idx="19">
                  <c:v>65</c:v>
                </c:pt>
                <c:pt idx="20">
                  <c:v>75</c:v>
                </c:pt>
                <c:pt idx="21">
                  <c:v>35</c:v>
                </c:pt>
                <c:pt idx="22">
                  <c:v>50</c:v>
                </c:pt>
                <c:pt idx="23">
                  <c:v>55</c:v>
                </c:pt>
                <c:pt idx="24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B-48A7-A010-426CF44A47B0}"/>
            </c:ext>
          </c:extLst>
        </c:ser>
        <c:ser>
          <c:idx val="3"/>
          <c:order val="3"/>
          <c:tx>
            <c:strRef>
              <c:f>ランダム表!$E$1</c:f>
              <c:strCache>
                <c:ptCount val="1"/>
                <c:pt idx="0">
                  <c:v>DEX(敏捷性)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ランダム表!$E$2:$E$26</c:f>
              <c:numCache>
                <c:formatCode>General</c:formatCode>
                <c:ptCount val="25"/>
                <c:pt idx="0">
                  <c:v>55</c:v>
                </c:pt>
                <c:pt idx="1">
                  <c:v>80</c:v>
                </c:pt>
                <c:pt idx="2">
                  <c:v>60</c:v>
                </c:pt>
                <c:pt idx="3">
                  <c:v>50</c:v>
                </c:pt>
                <c:pt idx="4">
                  <c:v>65</c:v>
                </c:pt>
                <c:pt idx="5">
                  <c:v>45</c:v>
                </c:pt>
                <c:pt idx="6">
                  <c:v>35</c:v>
                </c:pt>
                <c:pt idx="7">
                  <c:v>40</c:v>
                </c:pt>
                <c:pt idx="8">
                  <c:v>50</c:v>
                </c:pt>
                <c:pt idx="9">
                  <c:v>60</c:v>
                </c:pt>
                <c:pt idx="10">
                  <c:v>65</c:v>
                </c:pt>
                <c:pt idx="11">
                  <c:v>55</c:v>
                </c:pt>
                <c:pt idx="12">
                  <c:v>55</c:v>
                </c:pt>
                <c:pt idx="13">
                  <c:v>55</c:v>
                </c:pt>
                <c:pt idx="14">
                  <c:v>40</c:v>
                </c:pt>
                <c:pt idx="15">
                  <c:v>70</c:v>
                </c:pt>
                <c:pt idx="16">
                  <c:v>60</c:v>
                </c:pt>
                <c:pt idx="17">
                  <c:v>65</c:v>
                </c:pt>
                <c:pt idx="18">
                  <c:v>65</c:v>
                </c:pt>
                <c:pt idx="19">
                  <c:v>35</c:v>
                </c:pt>
                <c:pt idx="20">
                  <c:v>60</c:v>
                </c:pt>
                <c:pt idx="21">
                  <c:v>45</c:v>
                </c:pt>
                <c:pt idx="22">
                  <c:v>65</c:v>
                </c:pt>
                <c:pt idx="23">
                  <c:v>60</c:v>
                </c:pt>
                <c:pt idx="24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4B-48A7-A010-426CF44A47B0}"/>
            </c:ext>
          </c:extLst>
        </c:ser>
        <c:ser>
          <c:idx val="4"/>
          <c:order val="4"/>
          <c:tx>
            <c:strRef>
              <c:f>ランダム表!$F$1</c:f>
              <c:strCache>
                <c:ptCount val="1"/>
                <c:pt idx="0">
                  <c:v>APP(外見)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ランダム表!$F$2:$F$26</c:f>
              <c:numCache>
                <c:formatCode>General</c:formatCode>
                <c:ptCount val="25"/>
                <c:pt idx="0">
                  <c:v>55</c:v>
                </c:pt>
                <c:pt idx="1">
                  <c:v>40</c:v>
                </c:pt>
                <c:pt idx="2">
                  <c:v>45</c:v>
                </c:pt>
                <c:pt idx="3">
                  <c:v>35</c:v>
                </c:pt>
                <c:pt idx="4">
                  <c:v>55</c:v>
                </c:pt>
                <c:pt idx="5">
                  <c:v>35</c:v>
                </c:pt>
                <c:pt idx="6">
                  <c:v>55</c:v>
                </c:pt>
                <c:pt idx="7">
                  <c:v>30</c:v>
                </c:pt>
                <c:pt idx="8">
                  <c:v>20</c:v>
                </c:pt>
                <c:pt idx="9">
                  <c:v>60</c:v>
                </c:pt>
                <c:pt idx="10">
                  <c:v>70</c:v>
                </c:pt>
                <c:pt idx="11">
                  <c:v>80</c:v>
                </c:pt>
                <c:pt idx="12">
                  <c:v>55</c:v>
                </c:pt>
                <c:pt idx="13">
                  <c:v>55</c:v>
                </c:pt>
                <c:pt idx="14">
                  <c:v>45</c:v>
                </c:pt>
                <c:pt idx="15">
                  <c:v>55</c:v>
                </c:pt>
                <c:pt idx="16">
                  <c:v>60</c:v>
                </c:pt>
                <c:pt idx="17">
                  <c:v>50</c:v>
                </c:pt>
                <c:pt idx="18">
                  <c:v>35</c:v>
                </c:pt>
                <c:pt idx="19">
                  <c:v>45</c:v>
                </c:pt>
                <c:pt idx="20">
                  <c:v>75</c:v>
                </c:pt>
                <c:pt idx="21">
                  <c:v>70</c:v>
                </c:pt>
                <c:pt idx="22">
                  <c:v>60</c:v>
                </c:pt>
                <c:pt idx="23">
                  <c:v>35</c:v>
                </c:pt>
                <c:pt idx="2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4B-48A7-A010-426CF44A47B0}"/>
            </c:ext>
          </c:extLst>
        </c:ser>
        <c:ser>
          <c:idx val="5"/>
          <c:order val="5"/>
          <c:tx>
            <c:strRef>
              <c:f>ランダム表!$G$1</c:f>
              <c:strCache>
                <c:ptCount val="1"/>
                <c:pt idx="0">
                  <c:v>SIZ(体格)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ランダム表!$G$2:$G$26</c:f>
              <c:numCache>
                <c:formatCode>General</c:formatCode>
                <c:ptCount val="25"/>
                <c:pt idx="0">
                  <c:v>60</c:v>
                </c:pt>
                <c:pt idx="1">
                  <c:v>65</c:v>
                </c:pt>
                <c:pt idx="2">
                  <c:v>75</c:v>
                </c:pt>
                <c:pt idx="3">
                  <c:v>60</c:v>
                </c:pt>
                <c:pt idx="4">
                  <c:v>85</c:v>
                </c:pt>
                <c:pt idx="5">
                  <c:v>50</c:v>
                </c:pt>
                <c:pt idx="6">
                  <c:v>70</c:v>
                </c:pt>
                <c:pt idx="7">
                  <c:v>65</c:v>
                </c:pt>
                <c:pt idx="8">
                  <c:v>55</c:v>
                </c:pt>
                <c:pt idx="9">
                  <c:v>60</c:v>
                </c:pt>
                <c:pt idx="10">
                  <c:v>60</c:v>
                </c:pt>
                <c:pt idx="11">
                  <c:v>80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70</c:v>
                </c:pt>
                <c:pt idx="16">
                  <c:v>55</c:v>
                </c:pt>
                <c:pt idx="17">
                  <c:v>55</c:v>
                </c:pt>
                <c:pt idx="18">
                  <c:v>90</c:v>
                </c:pt>
                <c:pt idx="19">
                  <c:v>75</c:v>
                </c:pt>
                <c:pt idx="20">
                  <c:v>60</c:v>
                </c:pt>
                <c:pt idx="21">
                  <c:v>90</c:v>
                </c:pt>
                <c:pt idx="22">
                  <c:v>50</c:v>
                </c:pt>
                <c:pt idx="23">
                  <c:v>80</c:v>
                </c:pt>
                <c:pt idx="24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4B-48A7-A010-426CF44A47B0}"/>
            </c:ext>
          </c:extLst>
        </c:ser>
        <c:ser>
          <c:idx val="6"/>
          <c:order val="6"/>
          <c:tx>
            <c:strRef>
              <c:f>ランダム表!$H$1</c:f>
              <c:strCache>
                <c:ptCount val="1"/>
                <c:pt idx="0">
                  <c:v>INT(知性)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ランダム表!$H$2:$H$26</c:f>
              <c:numCache>
                <c:formatCode>General</c:formatCode>
                <c:ptCount val="25"/>
                <c:pt idx="0">
                  <c:v>70</c:v>
                </c:pt>
                <c:pt idx="1">
                  <c:v>70</c:v>
                </c:pt>
                <c:pt idx="2">
                  <c:v>65</c:v>
                </c:pt>
                <c:pt idx="3">
                  <c:v>65</c:v>
                </c:pt>
                <c:pt idx="4">
                  <c:v>45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75</c:v>
                </c:pt>
                <c:pt idx="11">
                  <c:v>55</c:v>
                </c:pt>
                <c:pt idx="12">
                  <c:v>60</c:v>
                </c:pt>
                <c:pt idx="13">
                  <c:v>55</c:v>
                </c:pt>
                <c:pt idx="14">
                  <c:v>55</c:v>
                </c:pt>
                <c:pt idx="15">
                  <c:v>50</c:v>
                </c:pt>
                <c:pt idx="16">
                  <c:v>50</c:v>
                </c:pt>
                <c:pt idx="17">
                  <c:v>45</c:v>
                </c:pt>
                <c:pt idx="18">
                  <c:v>75</c:v>
                </c:pt>
                <c:pt idx="19">
                  <c:v>70</c:v>
                </c:pt>
                <c:pt idx="20">
                  <c:v>60</c:v>
                </c:pt>
                <c:pt idx="21">
                  <c:v>75</c:v>
                </c:pt>
                <c:pt idx="22">
                  <c:v>80</c:v>
                </c:pt>
                <c:pt idx="23">
                  <c:v>70</c:v>
                </c:pt>
                <c:pt idx="2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4B-48A7-A010-426CF44A47B0}"/>
            </c:ext>
          </c:extLst>
        </c:ser>
        <c:ser>
          <c:idx val="7"/>
          <c:order val="7"/>
          <c:tx>
            <c:strRef>
              <c:f>ランダム表!$I$1</c:f>
              <c:strCache>
                <c:ptCount val="1"/>
                <c:pt idx="0">
                  <c:v>EDU(教育)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ランダム表!$I$2:$I$26</c:f>
              <c:numCache>
                <c:formatCode>General</c:formatCode>
                <c:ptCount val="25"/>
                <c:pt idx="0">
                  <c:v>70</c:v>
                </c:pt>
                <c:pt idx="1">
                  <c:v>50</c:v>
                </c:pt>
                <c:pt idx="2">
                  <c:v>75</c:v>
                </c:pt>
                <c:pt idx="3">
                  <c:v>75</c:v>
                </c:pt>
                <c:pt idx="4">
                  <c:v>50</c:v>
                </c:pt>
                <c:pt idx="5">
                  <c:v>70</c:v>
                </c:pt>
                <c:pt idx="6">
                  <c:v>70</c:v>
                </c:pt>
                <c:pt idx="7">
                  <c:v>60</c:v>
                </c:pt>
                <c:pt idx="8">
                  <c:v>55</c:v>
                </c:pt>
                <c:pt idx="9">
                  <c:v>55</c:v>
                </c:pt>
                <c:pt idx="10">
                  <c:v>50</c:v>
                </c:pt>
                <c:pt idx="11">
                  <c:v>70</c:v>
                </c:pt>
                <c:pt idx="12">
                  <c:v>70</c:v>
                </c:pt>
                <c:pt idx="13">
                  <c:v>45</c:v>
                </c:pt>
                <c:pt idx="14">
                  <c:v>65</c:v>
                </c:pt>
                <c:pt idx="15">
                  <c:v>85</c:v>
                </c:pt>
                <c:pt idx="16">
                  <c:v>65</c:v>
                </c:pt>
                <c:pt idx="17">
                  <c:v>60</c:v>
                </c:pt>
                <c:pt idx="18">
                  <c:v>80</c:v>
                </c:pt>
                <c:pt idx="19">
                  <c:v>65</c:v>
                </c:pt>
                <c:pt idx="20">
                  <c:v>40</c:v>
                </c:pt>
                <c:pt idx="21">
                  <c:v>85</c:v>
                </c:pt>
                <c:pt idx="22">
                  <c:v>85</c:v>
                </c:pt>
                <c:pt idx="23">
                  <c:v>55</c:v>
                </c:pt>
                <c:pt idx="24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4B-48A7-A010-426CF44A47B0}"/>
            </c:ext>
          </c:extLst>
        </c:ser>
        <c:ser>
          <c:idx val="8"/>
          <c:order val="8"/>
          <c:tx>
            <c:strRef>
              <c:f>ランダム表!$J$1</c:f>
              <c:strCache>
                <c:ptCount val="1"/>
                <c:pt idx="0">
                  <c:v>LUK(幸運)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ランダム表!$J$2:$J$26</c:f>
              <c:numCache>
                <c:formatCode>General</c:formatCode>
                <c:ptCount val="25"/>
                <c:pt idx="0">
                  <c:v>45</c:v>
                </c:pt>
                <c:pt idx="1">
                  <c:v>45</c:v>
                </c:pt>
                <c:pt idx="2">
                  <c:v>75</c:v>
                </c:pt>
                <c:pt idx="3">
                  <c:v>60</c:v>
                </c:pt>
                <c:pt idx="4">
                  <c:v>30</c:v>
                </c:pt>
                <c:pt idx="5">
                  <c:v>55</c:v>
                </c:pt>
                <c:pt idx="6">
                  <c:v>65</c:v>
                </c:pt>
                <c:pt idx="7">
                  <c:v>65</c:v>
                </c:pt>
                <c:pt idx="8">
                  <c:v>50</c:v>
                </c:pt>
                <c:pt idx="9">
                  <c:v>50</c:v>
                </c:pt>
                <c:pt idx="10">
                  <c:v>70</c:v>
                </c:pt>
                <c:pt idx="11">
                  <c:v>65</c:v>
                </c:pt>
                <c:pt idx="12">
                  <c:v>45</c:v>
                </c:pt>
                <c:pt idx="13">
                  <c:v>65</c:v>
                </c:pt>
                <c:pt idx="14">
                  <c:v>45</c:v>
                </c:pt>
                <c:pt idx="15">
                  <c:v>70</c:v>
                </c:pt>
                <c:pt idx="16">
                  <c:v>25</c:v>
                </c:pt>
                <c:pt idx="17">
                  <c:v>60</c:v>
                </c:pt>
                <c:pt idx="18">
                  <c:v>65</c:v>
                </c:pt>
                <c:pt idx="19">
                  <c:v>50</c:v>
                </c:pt>
                <c:pt idx="20">
                  <c:v>55</c:v>
                </c:pt>
                <c:pt idx="21">
                  <c:v>65</c:v>
                </c:pt>
                <c:pt idx="22">
                  <c:v>85</c:v>
                </c:pt>
                <c:pt idx="23">
                  <c:v>65</c:v>
                </c:pt>
                <c:pt idx="2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4B-48A7-A010-426CF44A4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0538344"/>
        <c:axId val="820538704"/>
      </c:lineChart>
      <c:catAx>
        <c:axId val="820538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538704"/>
        <c:crosses val="autoZero"/>
        <c:auto val="1"/>
        <c:lblAlgn val="ctr"/>
        <c:lblOffset val="100"/>
        <c:noMultiLvlLbl val="0"/>
      </c:catAx>
      <c:valAx>
        <c:axId val="820538704"/>
        <c:scaling>
          <c:orientation val="minMax"/>
          <c:max val="90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538344"/>
        <c:crosses val="autoZero"/>
        <c:crossBetween val="between"/>
        <c:majorUnit val="1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$8" lockText="1" noThreeD="1"/>
</file>

<file path=xl/ctrlProps/ctrlProp3.xml><?xml version="1.0" encoding="utf-8"?>
<formControlPr xmlns="http://schemas.microsoft.com/office/spreadsheetml/2009/9/main" objectType="CheckBox" fmlaLink="$A$9" lockText="1" noThreeD="1"/>
</file>

<file path=xl/ctrlProps/ctrlProp4.xml><?xml version="1.0" encoding="utf-8"?>
<formControlPr xmlns="http://schemas.microsoft.com/office/spreadsheetml/2009/9/main" objectType="CheckBox" fmlaLink="$A$10" lockText="1" noThreeD="1"/>
</file>

<file path=xl/ctrlProps/ctrlProp5.xml><?xml version="1.0" encoding="utf-8"?>
<formControlPr xmlns="http://schemas.microsoft.com/office/spreadsheetml/2009/9/main" objectType="CheckBox" fmlaLink="$A$11" lockText="1" noThreeD="1"/>
</file>

<file path=xl/ctrlProps/ctrlProp6.xml><?xml version="1.0" encoding="utf-8"?>
<formControlPr xmlns="http://schemas.microsoft.com/office/spreadsheetml/2009/9/main" objectType="CheckBox" fmlaLink="$A$12" lockText="1" noThreeD="1"/>
</file>

<file path=xl/ctrlProps/ctrlProp7.xml><?xml version="1.0" encoding="utf-8"?>
<formControlPr xmlns="http://schemas.microsoft.com/office/spreadsheetml/2009/9/main" objectType="CheckBox" fmlaLink="$A$13" lockText="1" noThreeD="1"/>
</file>

<file path=xl/ctrlProps/ctrlProp8.xml><?xml version="1.0" encoding="utf-8"?>
<formControlPr xmlns="http://schemas.microsoft.com/office/spreadsheetml/2009/9/main" objectType="CheckBox" fmlaLink="$A$14" lockText="1" noThreeD="1"/>
</file>

<file path=xl/ctrlProps/ctrlProp9.xml><?xml version="1.0" encoding="utf-8"?>
<formControlPr xmlns="http://schemas.microsoft.com/office/spreadsheetml/2009/9/main" objectType="CheckBox" fmlaLink="$A$15" lockText="1" noThreeD="1"/>
</file>

<file path=xl/ctrlProps/ctrlProp10.xml><?xml version="1.0" encoding="utf-8"?>
<formControlPr xmlns="http://schemas.microsoft.com/office/spreadsheetml/2009/9/main" objectType="CheckBox" fmlaLink="$A$16" lockText="1" noThreeD="1"/>
</file>

<file path=xl/ctrlProps/ctrlProp11.xml><?xml version="1.0" encoding="utf-8"?>
<formControlPr xmlns="http://schemas.microsoft.com/office/spreadsheetml/2009/9/main" objectType="CheckBox" fmlaLink="$A$17" lockText="1" noThreeD="1"/>
</file>

<file path=xl/ctrlProps/ctrlProp12.xml><?xml version="1.0" encoding="utf-8"?>
<formControlPr xmlns="http://schemas.microsoft.com/office/spreadsheetml/2009/9/main" objectType="CheckBox" fmlaLink="$A$18" lockText="1" noThreeD="1"/>
</file>

<file path=xl/ctrlProps/ctrlProp13.xml><?xml version="1.0" encoding="utf-8"?>
<formControlPr xmlns="http://schemas.microsoft.com/office/spreadsheetml/2009/9/main" objectType="CheckBox" fmlaLink="$A$19" lockText="1" noThreeD="1"/>
</file>

<file path=xl/ctrlProps/ctrlProp14.xml><?xml version="1.0" encoding="utf-8"?>
<formControlPr xmlns="http://schemas.microsoft.com/office/spreadsheetml/2009/9/main" objectType="CheckBox" fmlaLink="$A$20" lockText="1" noThreeD="1"/>
</file>

<file path=xl/ctrlProps/ctrlProp15.xml><?xml version="1.0" encoding="utf-8"?>
<formControlPr xmlns="http://schemas.microsoft.com/office/spreadsheetml/2009/9/main" objectType="CheckBox" fmlaLink="$A$21" lockText="1" noThreeD="1"/>
</file>

<file path=xl/ctrlProps/ctrlProp16.xml><?xml version="1.0" encoding="utf-8"?>
<formControlPr xmlns="http://schemas.microsoft.com/office/spreadsheetml/2009/9/main" objectType="CheckBox" fmlaLink="$A$22" lockText="1" noThreeD="1"/>
</file>

<file path=xl/ctrlProps/ctrlProp17.xml><?xml version="1.0" encoding="utf-8"?>
<formControlPr xmlns="http://schemas.microsoft.com/office/spreadsheetml/2009/9/main" objectType="CheckBox" fmlaLink="$A$23" lockText="1" noThreeD="1"/>
</file>

<file path=xl/ctrlProps/ctrlProp18.xml><?xml version="1.0" encoding="utf-8"?>
<formControlPr xmlns="http://schemas.microsoft.com/office/spreadsheetml/2009/9/main" objectType="CheckBox" fmlaLink="$A$24" lockText="1" noThreeD="1"/>
</file>

<file path=xl/ctrlProps/ctrlProp19.xml><?xml version="1.0" encoding="utf-8"?>
<formControlPr xmlns="http://schemas.microsoft.com/office/spreadsheetml/2009/9/main" objectType="CheckBox" fmlaLink="$A$25" lockText="1" noThreeD="1"/>
</file>

<file path=xl/ctrlProps/ctrlProp20.xml><?xml version="1.0" encoding="utf-8"?>
<formControlPr xmlns="http://schemas.microsoft.com/office/spreadsheetml/2009/9/main" objectType="CheckBox" fmlaLink="$A$26" lockText="1" noThreeD="1"/>
</file>

<file path=xl/ctrlProps/ctrlProp21.xml><?xml version="1.0" encoding="utf-8"?>
<formControlPr xmlns="http://schemas.microsoft.com/office/spreadsheetml/2009/9/main" objectType="CheckBox" fmlaLink="$A$27" lockText="1" noThreeD="1"/>
</file>

<file path=xl/ctrlProps/ctrlProp22.xml><?xml version="1.0" encoding="utf-8"?>
<formControlPr xmlns="http://schemas.microsoft.com/office/spreadsheetml/2009/9/main" objectType="CheckBox" fmlaLink="$A$28" lockText="1" noThreeD="1"/>
</file>

<file path=xl/ctrlProps/ctrlProp23.xml><?xml version="1.0" encoding="utf-8"?>
<formControlPr xmlns="http://schemas.microsoft.com/office/spreadsheetml/2009/9/main" objectType="CheckBox" fmlaLink="$A$29" lockText="1" noThreeD="1"/>
</file>

<file path=xl/ctrlProps/ctrlProp24.xml><?xml version="1.0" encoding="utf-8"?>
<formControlPr xmlns="http://schemas.microsoft.com/office/spreadsheetml/2009/9/main" objectType="CheckBox" fmlaLink="$A$30" lockText="1" noThreeD="1"/>
</file>

<file path=xl/ctrlProps/ctrlProp25.xml><?xml version="1.0" encoding="utf-8"?>
<formControlPr xmlns="http://schemas.microsoft.com/office/spreadsheetml/2009/9/main" objectType="CheckBox" fmlaLink="$A$31" lockText="1" noThreeD="1"/>
</file>

<file path=xl/ctrlProps/ctrlProp26.xml><?xml version="1.0" encoding="utf-8"?>
<formControlPr xmlns="http://schemas.microsoft.com/office/spreadsheetml/2009/9/main" objectType="CheckBox" fmlaLink="$A$32" lockText="1" noThreeD="1"/>
</file>

<file path=xl/ctrlProps/ctrlProp27.xml><?xml version="1.0" encoding="utf-8"?>
<formControlPr xmlns="http://schemas.microsoft.com/office/spreadsheetml/2009/9/main" objectType="CheckBox" fmlaLink="$A$33" lockText="1" noThreeD="1"/>
</file>

<file path=xl/ctrlProps/ctrlProp28.xml><?xml version="1.0" encoding="utf-8"?>
<formControlPr xmlns="http://schemas.microsoft.com/office/spreadsheetml/2009/9/main" objectType="CheckBox" fmlaLink="$A$34" lockText="1" noThreeD="1"/>
</file>

<file path=xl/ctrlProps/ctrlProp29.xml><?xml version="1.0" encoding="utf-8"?>
<formControlPr xmlns="http://schemas.microsoft.com/office/spreadsheetml/2009/9/main" objectType="CheckBox" fmlaLink="$A$35" lockText="1" noThreeD="1"/>
</file>

<file path=xl/ctrlProps/ctrlProp30.xml><?xml version="1.0" encoding="utf-8"?>
<formControlPr xmlns="http://schemas.microsoft.com/office/spreadsheetml/2009/9/main" objectType="CheckBox" fmlaLink="$A$36" lockText="1" noThreeD="1"/>
</file>

<file path=xl/ctrlProps/ctrlProp31.xml><?xml version="1.0" encoding="utf-8"?>
<formControlPr xmlns="http://schemas.microsoft.com/office/spreadsheetml/2009/9/main" objectType="CheckBox" fmlaLink="$A$37" lockText="1" noThreeD="1"/>
</file>

<file path=xl/ctrlProps/ctrlProp32.xml><?xml version="1.0" encoding="utf-8"?>
<formControlPr xmlns="http://schemas.microsoft.com/office/spreadsheetml/2009/9/main" objectType="CheckBox" fmlaLink="$A$38" lockText="1" noThreeD="1"/>
</file>

<file path=xl/ctrlProps/ctrlProp33.xml><?xml version="1.0" encoding="utf-8"?>
<formControlPr xmlns="http://schemas.microsoft.com/office/spreadsheetml/2009/9/main" objectType="CheckBox" fmlaLink="$A$39" lockText="1" noThreeD="1"/>
</file>

<file path=xl/ctrlProps/ctrlProp34.xml><?xml version="1.0" encoding="utf-8"?>
<formControlPr xmlns="http://schemas.microsoft.com/office/spreadsheetml/2009/9/main" objectType="CheckBox" fmlaLink="$A$40" lockText="1" noThreeD="1"/>
</file>

<file path=xl/ctrlProps/ctrlProp35.xml><?xml version="1.0" encoding="utf-8"?>
<formControlPr xmlns="http://schemas.microsoft.com/office/spreadsheetml/2009/9/main" objectType="CheckBox" fmlaLink="$A$41" lockText="1" noThreeD="1"/>
</file>

<file path=xl/ctrlProps/ctrlProp36.xml><?xml version="1.0" encoding="utf-8"?>
<formControlPr xmlns="http://schemas.microsoft.com/office/spreadsheetml/2009/9/main" objectType="CheckBox" fmlaLink="$A$42" lockText="1" noThreeD="1"/>
</file>

<file path=xl/ctrlProps/ctrlProp37.xml><?xml version="1.0" encoding="utf-8"?>
<formControlPr xmlns="http://schemas.microsoft.com/office/spreadsheetml/2009/9/main" objectType="CheckBox" fmlaLink="$A$43" lockText="1" noThreeD="1"/>
</file>

<file path=xl/ctrlProps/ctrlProp38.xml><?xml version="1.0" encoding="utf-8"?>
<formControlPr xmlns="http://schemas.microsoft.com/office/spreadsheetml/2009/9/main" objectType="CheckBox" fmlaLink="$A$44" lockText="1" noThreeD="1"/>
</file>

<file path=xl/ctrlProps/ctrlProp39.xml><?xml version="1.0" encoding="utf-8"?>
<formControlPr xmlns="http://schemas.microsoft.com/office/spreadsheetml/2009/9/main" objectType="CheckBox" fmlaLink="$A$45" lockText="1" noThreeD="1"/>
</file>

<file path=xl/ctrlProps/ctrlProp40.xml><?xml version="1.0" encoding="utf-8"?>
<formControlPr xmlns="http://schemas.microsoft.com/office/spreadsheetml/2009/9/main" objectType="CheckBox" fmlaLink="$A$46" lockText="1" noThreeD="1"/>
</file>

<file path=xl/ctrlProps/ctrlProp41.xml><?xml version="1.0" encoding="utf-8"?>
<formControlPr xmlns="http://schemas.microsoft.com/office/spreadsheetml/2009/9/main" objectType="CheckBox" fmlaLink="$A$47" lockText="1" noThreeD="1"/>
</file>

<file path=xl/ctrlProps/ctrlProp42.xml><?xml version="1.0" encoding="utf-8"?>
<formControlPr xmlns="http://schemas.microsoft.com/office/spreadsheetml/2009/9/main" objectType="CheckBox" fmlaLink="$A$48" lockText="1" noThreeD="1"/>
</file>

<file path=xl/ctrlProps/ctrlProp43.xml><?xml version="1.0" encoding="utf-8"?>
<formControlPr xmlns="http://schemas.microsoft.com/office/spreadsheetml/2009/9/main" objectType="CheckBox" fmlaLink="$A$49" lockText="1" noThreeD="1"/>
</file>

<file path=xl/ctrlProps/ctrlProp44.xml><?xml version="1.0" encoding="utf-8"?>
<formControlPr xmlns="http://schemas.microsoft.com/office/spreadsheetml/2009/9/main" objectType="CheckBox" fmlaLink="$A$50" lockText="1" noThreeD="1"/>
</file>

<file path=xl/ctrlProps/ctrlProp45.xml><?xml version="1.0" encoding="utf-8"?>
<formControlPr xmlns="http://schemas.microsoft.com/office/spreadsheetml/2009/9/main" objectType="CheckBox" fmlaLink="$A$51" lockText="1" noThreeD="1"/>
</file>

<file path=xl/ctrlProps/ctrlProp46.xml><?xml version="1.0" encoding="utf-8"?>
<formControlPr xmlns="http://schemas.microsoft.com/office/spreadsheetml/2009/9/main" objectType="CheckBox" fmlaLink="$A$52" lockText="1" noThreeD="1"/>
</file>

<file path=xl/ctrlProps/ctrlProp47.xml><?xml version="1.0" encoding="utf-8"?>
<formControlPr xmlns="http://schemas.microsoft.com/office/spreadsheetml/2009/9/main" objectType="CheckBox" fmlaLink="$A$53" lockText="1" noThreeD="1"/>
</file>

<file path=xl/ctrlProps/ctrlProp48.xml><?xml version="1.0" encoding="utf-8"?>
<formControlPr xmlns="http://schemas.microsoft.com/office/spreadsheetml/2009/9/main" objectType="CheckBox" fmlaLink="$A$54" lockText="1" noThreeD="1"/>
</file>

<file path=xl/ctrlProps/ctrlProp49.xml><?xml version="1.0" encoding="utf-8"?>
<formControlPr xmlns="http://schemas.microsoft.com/office/spreadsheetml/2009/9/main" objectType="CheckBox" fmlaLink="$A$55" lockText="1" noThreeD="1"/>
</file>

<file path=xl/ctrlProps/ctrlProp50.xml><?xml version="1.0" encoding="utf-8"?>
<formControlPr xmlns="http://schemas.microsoft.com/office/spreadsheetml/2009/9/main" objectType="CheckBox" fmlaLink="$A$56" lockText="1" noThreeD="1"/>
</file>

<file path=xl/ctrlProps/ctrlProp51.xml><?xml version="1.0" encoding="utf-8"?>
<formControlPr xmlns="http://schemas.microsoft.com/office/spreadsheetml/2009/9/main" objectType="CheckBox" fmlaLink="$A$57" lockText="1" noThreeD="1"/>
</file>

<file path=xl/ctrlProps/ctrlProp52.xml><?xml version="1.0" encoding="utf-8"?>
<formControlPr xmlns="http://schemas.microsoft.com/office/spreadsheetml/2009/9/main" objectType="CheckBox" fmlaLink="$A$58" lockText="1" noThreeD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133350</xdr:rowOff>
    </xdr:from>
    <xdr:to>
      <xdr:col>22</xdr:col>
      <xdr:colOff>16934</xdr:colOff>
      <xdr:row>16</xdr:row>
      <xdr:rowOff>39600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285750</xdr:colOff>
      <xdr:row>15</xdr:row>
      <xdr:rowOff>166687</xdr:rowOff>
    </xdr:from>
    <xdr:to>
      <xdr:col>22</xdr:col>
      <xdr:colOff>302684</xdr:colOff>
      <xdr:row>29</xdr:row>
      <xdr:rowOff>72937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</xdr:row>
          <xdr:rowOff>12700</xdr:rowOff>
        </xdr:from>
        <xdr:to>
          <xdr:col>15</xdr:col>
          <xdr:colOff>457200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3528" name="Check Box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1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529" name="Check Box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1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530" name="Check Box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1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3531" name="Check Box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1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3532" name="Check Box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1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3533" name="Check Box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1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3534" name="Check Box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1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3535" name="Check Box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1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3536" name="Check Box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1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3537" name="Check Box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1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3538" name="Check Box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1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3539" name="Check Box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1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3540" name="Check Box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1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3541" name="Check Box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1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3542" name="Check Box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1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3543" name="Check Box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1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3544" name="Check Box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1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3545" name="Check Box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1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3546" name="Check Box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1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3547" name="Check Box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1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3548" name="Check Box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1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3549" name="Check Box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1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3550" name="Check Box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1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3551" name="Check Box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1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3552" name="Check Box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1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3553" name="Check Box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1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3554" name="Check Box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1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3555" name="Check Box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1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3556" name="Check Box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1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3557" name="Check Box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1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3558" name="Check Box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1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3559" name="Check Box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1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3560" name="Check Box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1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3561" name="Check Box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1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3562" name="Check Box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1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3563" name="Check Box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1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3564" name="Check Box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1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3565" name="Check Box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1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3566" name="Check Box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1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3567" name="Check Box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1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3568" name="Check Box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1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3569" name="Check Box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1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3570" name="Check Box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1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3571" name="Check Box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1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3572" name="Check Box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1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3573" name="Check Box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1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3574" name="Check Box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1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3575" name="Check Box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1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3576" name="Check Box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1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3577" name="Check Box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1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3578" name="Check Box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1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579" name="Button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1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3" Type="http://schemas.openxmlformats.org/officeDocument/2006/relationships/ctrlProp" Target="../ctrlProps/ctrlProp52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3" Type="http://schemas.openxmlformats.org/officeDocument/2006/relationships/ctrlProp" Target="../ctrlProps/ctrlProp2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C422-32DF-4E06-8A44-87E91B647293}">
  <sheetPr codeName="Sheet3"/>
  <dimension ref="A1:Q26"/>
  <sheetViews>
    <sheetView tabSelected="1" zoomScaleNormal="100" workbookViewId="0">
      <pane ySplit="1" topLeftCell="A2" activePane="bottomLeft" state="frozen"/>
      <selection pane="bottomLeft" activeCell="Q1" sqref="Q1"/>
    </sheetView>
  </sheetViews>
  <sheetFormatPr defaultRowHeight="18" x14ac:dyDescent="0.55000000000000004"/>
  <cols>
    <col min="1" max="10" width="5" customWidth="1"/>
    <col min="11" max="13" width="4.58203125" customWidth="1"/>
  </cols>
  <sheetData>
    <row r="1" spans="1:17" x14ac:dyDescent="0.55000000000000004">
      <c r="A1" t="s">
        <v>19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17</v>
      </c>
      <c r="M1" t="s">
        <v>18</v>
      </c>
      <c r="Q1" s="7"/>
    </row>
    <row r="2" spans="1:17" x14ac:dyDescent="0.55000000000000004">
      <c r="A2">
        <v>1</v>
      </c>
      <c r="B2">
        <f ca="1">(INT(RAND()*6+1)+INT(RAND()*6+1)+INT(RAND()*6+1))*5</f>
        <v>65</v>
      </c>
      <c r="C2">
        <f ca="1">(INT(RAND()*6+1)+INT(RAND()*6+1)+INT(RAND()*6+1))*5</f>
        <v>55</v>
      </c>
      <c r="D2">
        <f ca="1">(INT(RAND()*6+1)+INT(RAND()*6+1)+INT(RAND()*6+1))*5</f>
        <v>65</v>
      </c>
      <c r="E2">
        <f ca="1">(INT(RAND()*6+1)+INT(RAND()*6+1)+INT(RAND()*6+1))*5</f>
        <v>55</v>
      </c>
      <c r="F2">
        <f ca="1">(INT(RAND()*6+1)+INT(RAND()*6+1)+INT(RAND()*6+1))*5</f>
        <v>55</v>
      </c>
      <c r="G2">
        <f ca="1">(INT(RAND()*6+1)+INT(RAND()*6+1)+6)*5</f>
        <v>60</v>
      </c>
      <c r="H2">
        <f ca="1">(INT(RAND()*6+1)+INT(RAND()*6+1)+6)*5</f>
        <v>70</v>
      </c>
      <c r="I2">
        <f ca="1">(INT(RAND()*6+1)+INT(RAND()*6+1)+6)*5</f>
        <v>70</v>
      </c>
      <c r="J2">
        <f ca="1">(INT(RAND()*6+1)+INT(RAND()*6+1)+INT(RAND()*6+1))*5</f>
        <v>45</v>
      </c>
      <c r="K2">
        <f ca="1">SUM(B2:J2)</f>
        <v>540</v>
      </c>
      <c r="L2" s="1">
        <f ca="1">_xlfn.STDEV.P(B2:F2,J2)</f>
        <v>6.8718427093627676</v>
      </c>
      <c r="M2" s="1">
        <f ca="1">_xlfn.STDEV.P(G2:I2)</f>
        <v>4.7140452079103161</v>
      </c>
    </row>
    <row r="3" spans="1:17" x14ac:dyDescent="0.55000000000000004">
      <c r="A3">
        <v>2</v>
      </c>
      <c r="B3">
        <f t="shared" ref="B3:F26" ca="1" si="0">(INT(RAND()*6+1)+INT(RAND()*6+1)+INT(RAND()*6+1))*5</f>
        <v>35</v>
      </c>
      <c r="C3">
        <f t="shared" ca="1" si="0"/>
        <v>55</v>
      </c>
      <c r="D3">
        <f t="shared" ca="1" si="0"/>
        <v>70</v>
      </c>
      <c r="E3">
        <f t="shared" ca="1" si="0"/>
        <v>80</v>
      </c>
      <c r="F3">
        <f t="shared" ca="1" si="0"/>
        <v>40</v>
      </c>
      <c r="G3">
        <f t="shared" ref="G3:I26" ca="1" si="1">(INT(RAND()*6+1)+INT(RAND()*6+1)+6)*5</f>
        <v>65</v>
      </c>
      <c r="H3">
        <f t="shared" ca="1" si="1"/>
        <v>70</v>
      </c>
      <c r="I3">
        <f t="shared" ca="1" si="1"/>
        <v>50</v>
      </c>
      <c r="J3">
        <f t="shared" ref="J3:J26" ca="1" si="2">(INT(RAND()*6+1)+INT(RAND()*6+1)+INT(RAND()*6+1))*5</f>
        <v>45</v>
      </c>
      <c r="K3">
        <f t="shared" ref="K3:K26" ca="1" si="3">SUM(B3:J3)</f>
        <v>510</v>
      </c>
      <c r="L3" s="1">
        <f t="shared" ref="L3:L5" ca="1" si="4">_xlfn.STDEV.P(B3:F3,J3)</f>
        <v>16.180406532456331</v>
      </c>
      <c r="M3" s="1">
        <f t="shared" ref="M3:M5" ca="1" si="5">_xlfn.STDEV.P(G3:I3)</f>
        <v>8.4983658559879753</v>
      </c>
    </row>
    <row r="4" spans="1:17" x14ac:dyDescent="0.55000000000000004">
      <c r="A4">
        <v>3</v>
      </c>
      <c r="B4">
        <f t="shared" ca="1" si="0"/>
        <v>55</v>
      </c>
      <c r="C4">
        <f t="shared" ca="1" si="0"/>
        <v>35</v>
      </c>
      <c r="D4">
        <f t="shared" ca="1" si="0"/>
        <v>50</v>
      </c>
      <c r="E4">
        <f t="shared" ca="1" si="0"/>
        <v>60</v>
      </c>
      <c r="F4">
        <f t="shared" ca="1" si="0"/>
        <v>45</v>
      </c>
      <c r="G4">
        <f t="shared" ca="1" si="1"/>
        <v>75</v>
      </c>
      <c r="H4">
        <f t="shared" ca="1" si="1"/>
        <v>65</v>
      </c>
      <c r="I4">
        <f t="shared" ca="1" si="1"/>
        <v>75</v>
      </c>
      <c r="J4">
        <f t="shared" ca="1" si="2"/>
        <v>75</v>
      </c>
      <c r="K4">
        <f t="shared" ca="1" si="3"/>
        <v>535</v>
      </c>
      <c r="L4" s="1">
        <f t="shared" ca="1" si="4"/>
        <v>12.472191289246471</v>
      </c>
      <c r="M4" s="1">
        <f t="shared" ca="1" si="5"/>
        <v>4.7140452079103161</v>
      </c>
    </row>
    <row r="5" spans="1:17" x14ac:dyDescent="0.55000000000000004">
      <c r="A5">
        <v>4</v>
      </c>
      <c r="B5">
        <f t="shared" ca="1" si="0"/>
        <v>55</v>
      </c>
      <c r="C5">
        <f t="shared" ca="1" si="0"/>
        <v>70</v>
      </c>
      <c r="D5">
        <f t="shared" ca="1" si="0"/>
        <v>50</v>
      </c>
      <c r="E5">
        <f t="shared" ca="1" si="0"/>
        <v>50</v>
      </c>
      <c r="F5">
        <f t="shared" ca="1" si="0"/>
        <v>35</v>
      </c>
      <c r="G5">
        <f t="shared" ca="1" si="1"/>
        <v>60</v>
      </c>
      <c r="H5">
        <f t="shared" ca="1" si="1"/>
        <v>65</v>
      </c>
      <c r="I5">
        <f t="shared" ca="1" si="1"/>
        <v>75</v>
      </c>
      <c r="J5">
        <f t="shared" ca="1" si="2"/>
        <v>60</v>
      </c>
      <c r="K5">
        <f t="shared" ca="1" si="3"/>
        <v>520</v>
      </c>
      <c r="L5" s="1">
        <f t="shared" ca="1" si="4"/>
        <v>10.671873729054747</v>
      </c>
      <c r="M5" s="1">
        <f t="shared" ca="1" si="5"/>
        <v>6.2360956446232363</v>
      </c>
    </row>
    <row r="6" spans="1:17" x14ac:dyDescent="0.55000000000000004">
      <c r="A6">
        <v>5</v>
      </c>
      <c r="B6">
        <f t="shared" ca="1" si="0"/>
        <v>45</v>
      </c>
      <c r="C6">
        <f t="shared" ca="1" si="0"/>
        <v>75</v>
      </c>
      <c r="D6">
        <f t="shared" ca="1" si="0"/>
        <v>40</v>
      </c>
      <c r="E6">
        <f t="shared" ca="1" si="0"/>
        <v>65</v>
      </c>
      <c r="F6">
        <f t="shared" ca="1" si="0"/>
        <v>55</v>
      </c>
      <c r="G6">
        <f t="shared" ca="1" si="1"/>
        <v>85</v>
      </c>
      <c r="H6">
        <f t="shared" ca="1" si="1"/>
        <v>45</v>
      </c>
      <c r="I6">
        <f t="shared" ca="1" si="1"/>
        <v>50</v>
      </c>
      <c r="J6">
        <f t="shared" ca="1" si="2"/>
        <v>30</v>
      </c>
      <c r="K6">
        <f t="shared" ca="1" si="3"/>
        <v>490</v>
      </c>
      <c r="L6" s="1">
        <f t="shared" ref="L6:L26" ca="1" si="6">_xlfn.STDEV.P(B6:F6,J6)</f>
        <v>15.184055965240498</v>
      </c>
      <c r="M6" s="1">
        <f t="shared" ref="M6:M26" ca="1" si="7">_xlfn.STDEV.P(G6:I6)</f>
        <v>17.795130420052185</v>
      </c>
    </row>
    <row r="7" spans="1:17" x14ac:dyDescent="0.55000000000000004">
      <c r="A7">
        <v>6</v>
      </c>
      <c r="B7">
        <f t="shared" ca="1" si="0"/>
        <v>35</v>
      </c>
      <c r="C7">
        <f t="shared" ca="1" si="0"/>
        <v>55</v>
      </c>
      <c r="D7">
        <f t="shared" ca="1" si="0"/>
        <v>65</v>
      </c>
      <c r="E7">
        <f t="shared" ca="1" si="0"/>
        <v>45</v>
      </c>
      <c r="F7">
        <f t="shared" ca="1" si="0"/>
        <v>35</v>
      </c>
      <c r="G7">
        <f t="shared" ca="1" si="1"/>
        <v>50</v>
      </c>
      <c r="H7">
        <f t="shared" ca="1" si="1"/>
        <v>50</v>
      </c>
      <c r="I7">
        <f t="shared" ca="1" si="1"/>
        <v>70</v>
      </c>
      <c r="J7">
        <f t="shared" ca="1" si="2"/>
        <v>55</v>
      </c>
      <c r="K7">
        <f t="shared" ca="1" si="3"/>
        <v>460</v>
      </c>
      <c r="L7" s="1">
        <f t="shared" ca="1" si="6"/>
        <v>11.055415967851333</v>
      </c>
      <c r="M7" s="1">
        <f t="shared" ca="1" si="7"/>
        <v>9.428090415820634</v>
      </c>
    </row>
    <row r="8" spans="1:17" x14ac:dyDescent="0.55000000000000004">
      <c r="A8">
        <v>7</v>
      </c>
      <c r="B8">
        <f t="shared" ca="1" si="0"/>
        <v>50</v>
      </c>
      <c r="C8">
        <f t="shared" ca="1" si="0"/>
        <v>40</v>
      </c>
      <c r="D8">
        <f t="shared" ca="1" si="0"/>
        <v>45</v>
      </c>
      <c r="E8">
        <f t="shared" ca="1" si="0"/>
        <v>35</v>
      </c>
      <c r="F8">
        <f t="shared" ca="1" si="0"/>
        <v>55</v>
      </c>
      <c r="G8">
        <f t="shared" ca="1" si="1"/>
        <v>70</v>
      </c>
      <c r="H8">
        <f t="shared" ca="1" si="1"/>
        <v>60</v>
      </c>
      <c r="I8">
        <f t="shared" ca="1" si="1"/>
        <v>70</v>
      </c>
      <c r="J8">
        <f t="shared" ca="1" si="2"/>
        <v>65</v>
      </c>
      <c r="K8">
        <f t="shared" ca="1" si="3"/>
        <v>490</v>
      </c>
      <c r="L8" s="1">
        <f t="shared" ca="1" si="6"/>
        <v>9.8601329718326944</v>
      </c>
      <c r="M8" s="1">
        <f t="shared" ca="1" si="7"/>
        <v>4.7140452079103161</v>
      </c>
    </row>
    <row r="9" spans="1:17" x14ac:dyDescent="0.55000000000000004">
      <c r="A9">
        <v>8</v>
      </c>
      <c r="B9">
        <f t="shared" ca="1" si="0"/>
        <v>35</v>
      </c>
      <c r="C9">
        <f t="shared" ca="1" si="0"/>
        <v>60</v>
      </c>
      <c r="D9">
        <f t="shared" ca="1" si="0"/>
        <v>60</v>
      </c>
      <c r="E9">
        <f t="shared" ca="1" si="0"/>
        <v>40</v>
      </c>
      <c r="F9">
        <f t="shared" ca="1" si="0"/>
        <v>30</v>
      </c>
      <c r="G9">
        <f t="shared" ca="1" si="1"/>
        <v>65</v>
      </c>
      <c r="H9">
        <f t="shared" ca="1" si="1"/>
        <v>70</v>
      </c>
      <c r="I9">
        <f t="shared" ca="1" si="1"/>
        <v>60</v>
      </c>
      <c r="J9">
        <f t="shared" ca="1" si="2"/>
        <v>65</v>
      </c>
      <c r="K9">
        <f t="shared" ca="1" si="3"/>
        <v>485</v>
      </c>
      <c r="L9" s="1">
        <f t="shared" ca="1" si="6"/>
        <v>13.743685418725535</v>
      </c>
      <c r="M9" s="1">
        <f t="shared" ca="1" si="7"/>
        <v>4.0824829046386304</v>
      </c>
    </row>
    <row r="10" spans="1:17" x14ac:dyDescent="0.55000000000000004">
      <c r="A10">
        <v>9</v>
      </c>
      <c r="B10">
        <f t="shared" ca="1" si="0"/>
        <v>60</v>
      </c>
      <c r="C10">
        <f t="shared" ca="1" si="0"/>
        <v>75</v>
      </c>
      <c r="D10">
        <f t="shared" ca="1" si="0"/>
        <v>50</v>
      </c>
      <c r="E10">
        <f t="shared" ca="1" si="0"/>
        <v>50</v>
      </c>
      <c r="F10">
        <f t="shared" ca="1" si="0"/>
        <v>20</v>
      </c>
      <c r="G10">
        <f t="shared" ca="1" si="1"/>
        <v>55</v>
      </c>
      <c r="H10">
        <f t="shared" ca="1" si="1"/>
        <v>70</v>
      </c>
      <c r="I10">
        <f t="shared" ca="1" si="1"/>
        <v>55</v>
      </c>
      <c r="J10">
        <f t="shared" ca="1" si="2"/>
        <v>50</v>
      </c>
      <c r="K10">
        <f t="shared" ca="1" si="3"/>
        <v>485</v>
      </c>
      <c r="L10" s="1">
        <f t="shared" ca="1" si="6"/>
        <v>16.435902436096683</v>
      </c>
      <c r="M10" s="1">
        <f t="shared" ca="1" si="7"/>
        <v>7.0710678118654755</v>
      </c>
    </row>
    <row r="11" spans="1:17" x14ac:dyDescent="0.55000000000000004">
      <c r="A11">
        <v>10</v>
      </c>
      <c r="B11">
        <f t="shared" ca="1" si="0"/>
        <v>70</v>
      </c>
      <c r="C11">
        <f t="shared" ca="1" si="0"/>
        <v>50</v>
      </c>
      <c r="D11">
        <f t="shared" ca="1" si="0"/>
        <v>80</v>
      </c>
      <c r="E11">
        <f t="shared" ca="1" si="0"/>
        <v>60</v>
      </c>
      <c r="F11">
        <f t="shared" ca="1" si="0"/>
        <v>60</v>
      </c>
      <c r="G11">
        <f t="shared" ca="1" si="1"/>
        <v>60</v>
      </c>
      <c r="H11">
        <f t="shared" ca="1" si="1"/>
        <v>70</v>
      </c>
      <c r="I11">
        <f t="shared" ca="1" si="1"/>
        <v>55</v>
      </c>
      <c r="J11">
        <f t="shared" ca="1" si="2"/>
        <v>50</v>
      </c>
      <c r="K11">
        <f t="shared" ca="1" si="3"/>
        <v>555</v>
      </c>
      <c r="L11" s="1">
        <f t="shared" ca="1" si="6"/>
        <v>10.671873729054747</v>
      </c>
      <c r="M11" s="1">
        <f t="shared" ca="1" si="7"/>
        <v>6.2360956446232354</v>
      </c>
    </row>
    <row r="12" spans="1:17" x14ac:dyDescent="0.55000000000000004">
      <c r="A12">
        <v>11</v>
      </c>
      <c r="B12">
        <f t="shared" ca="1" si="0"/>
        <v>65</v>
      </c>
      <c r="C12">
        <f t="shared" ca="1" si="0"/>
        <v>65</v>
      </c>
      <c r="D12">
        <f t="shared" ca="1" si="0"/>
        <v>80</v>
      </c>
      <c r="E12">
        <f t="shared" ca="1" si="0"/>
        <v>65</v>
      </c>
      <c r="F12">
        <f t="shared" ca="1" si="0"/>
        <v>70</v>
      </c>
      <c r="G12">
        <f t="shared" ca="1" si="1"/>
        <v>60</v>
      </c>
      <c r="H12">
        <f t="shared" ca="1" si="1"/>
        <v>75</v>
      </c>
      <c r="I12">
        <f t="shared" ca="1" si="1"/>
        <v>50</v>
      </c>
      <c r="J12">
        <f t="shared" ca="1" si="2"/>
        <v>70</v>
      </c>
      <c r="K12">
        <f t="shared" ca="1" si="3"/>
        <v>600</v>
      </c>
      <c r="L12" s="1">
        <f t="shared" ca="1" si="6"/>
        <v>5.3359368645273735</v>
      </c>
      <c r="M12" s="1">
        <f t="shared" ca="1" si="7"/>
        <v>10.274023338281628</v>
      </c>
    </row>
    <row r="13" spans="1:17" x14ac:dyDescent="0.55000000000000004">
      <c r="A13">
        <v>12</v>
      </c>
      <c r="B13">
        <f t="shared" ca="1" si="0"/>
        <v>65</v>
      </c>
      <c r="C13">
        <f t="shared" ca="1" si="0"/>
        <v>25</v>
      </c>
      <c r="D13">
        <f t="shared" ca="1" si="0"/>
        <v>65</v>
      </c>
      <c r="E13">
        <f t="shared" ca="1" si="0"/>
        <v>55</v>
      </c>
      <c r="F13">
        <f t="shared" ca="1" si="0"/>
        <v>80</v>
      </c>
      <c r="G13">
        <f t="shared" ca="1" si="1"/>
        <v>80</v>
      </c>
      <c r="H13">
        <f t="shared" ca="1" si="1"/>
        <v>55</v>
      </c>
      <c r="I13">
        <f t="shared" ca="1" si="1"/>
        <v>70</v>
      </c>
      <c r="J13">
        <f t="shared" ca="1" si="2"/>
        <v>65</v>
      </c>
      <c r="K13">
        <f t="shared" ca="1" si="3"/>
        <v>560</v>
      </c>
      <c r="L13" s="1">
        <f t="shared" ca="1" si="6"/>
        <v>16.935334527417979</v>
      </c>
      <c r="M13" s="1">
        <f t="shared" ca="1" si="7"/>
        <v>10.274023338281628</v>
      </c>
    </row>
    <row r="14" spans="1:17" x14ac:dyDescent="0.55000000000000004">
      <c r="A14">
        <v>13</v>
      </c>
      <c r="B14">
        <f t="shared" ca="1" si="0"/>
        <v>50</v>
      </c>
      <c r="C14">
        <f t="shared" ca="1" si="0"/>
        <v>65</v>
      </c>
      <c r="D14">
        <f t="shared" ca="1" si="0"/>
        <v>60</v>
      </c>
      <c r="E14">
        <f t="shared" ca="1" si="0"/>
        <v>55</v>
      </c>
      <c r="F14">
        <f t="shared" ca="1" si="0"/>
        <v>55</v>
      </c>
      <c r="G14">
        <f t="shared" ca="1" si="1"/>
        <v>50</v>
      </c>
      <c r="H14">
        <f t="shared" ca="1" si="1"/>
        <v>60</v>
      </c>
      <c r="I14">
        <f t="shared" ca="1" si="1"/>
        <v>70</v>
      </c>
      <c r="J14">
        <f t="shared" ca="1" si="2"/>
        <v>45</v>
      </c>
      <c r="K14">
        <f t="shared" ca="1" si="3"/>
        <v>510</v>
      </c>
      <c r="L14" s="1">
        <f t="shared" ca="1" si="6"/>
        <v>6.4549722436790278</v>
      </c>
      <c r="M14" s="1">
        <f t="shared" ca="1" si="7"/>
        <v>8.1649658092772608</v>
      </c>
    </row>
    <row r="15" spans="1:17" x14ac:dyDescent="0.55000000000000004">
      <c r="A15">
        <v>14</v>
      </c>
      <c r="B15">
        <f t="shared" ca="1" si="0"/>
        <v>35</v>
      </c>
      <c r="C15">
        <f t="shared" ca="1" si="0"/>
        <v>60</v>
      </c>
      <c r="D15">
        <f t="shared" ca="1" si="0"/>
        <v>60</v>
      </c>
      <c r="E15">
        <f t="shared" ca="1" si="0"/>
        <v>55</v>
      </c>
      <c r="F15">
        <f t="shared" ca="1" si="0"/>
        <v>55</v>
      </c>
      <c r="G15">
        <f t="shared" ca="1" si="1"/>
        <v>60</v>
      </c>
      <c r="H15">
        <f t="shared" ca="1" si="1"/>
        <v>55</v>
      </c>
      <c r="I15">
        <f t="shared" ca="1" si="1"/>
        <v>45</v>
      </c>
      <c r="J15">
        <f t="shared" ca="1" si="2"/>
        <v>65</v>
      </c>
      <c r="K15">
        <f t="shared" ca="1" si="3"/>
        <v>490</v>
      </c>
      <c r="L15" s="1">
        <f t="shared" ca="1" si="6"/>
        <v>9.574271077563381</v>
      </c>
      <c r="M15" s="1">
        <f t="shared" ca="1" si="7"/>
        <v>6.2360956446232354</v>
      </c>
    </row>
    <row r="16" spans="1:17" x14ac:dyDescent="0.55000000000000004">
      <c r="A16">
        <v>15</v>
      </c>
      <c r="B16">
        <f t="shared" ca="1" si="0"/>
        <v>50</v>
      </c>
      <c r="C16">
        <f t="shared" ca="1" si="0"/>
        <v>20</v>
      </c>
      <c r="D16">
        <f t="shared" ca="1" si="0"/>
        <v>45</v>
      </c>
      <c r="E16">
        <f t="shared" ca="1" si="0"/>
        <v>40</v>
      </c>
      <c r="F16">
        <f t="shared" ca="1" si="0"/>
        <v>45</v>
      </c>
      <c r="G16">
        <f t="shared" ca="1" si="1"/>
        <v>70</v>
      </c>
      <c r="H16">
        <f t="shared" ca="1" si="1"/>
        <v>55</v>
      </c>
      <c r="I16">
        <f t="shared" ca="1" si="1"/>
        <v>65</v>
      </c>
      <c r="J16">
        <f t="shared" ca="1" si="2"/>
        <v>45</v>
      </c>
      <c r="K16">
        <f t="shared" ca="1" si="3"/>
        <v>435</v>
      </c>
      <c r="L16" s="1">
        <f t="shared" ca="1" si="6"/>
        <v>9.7539165922663535</v>
      </c>
      <c r="M16" s="1">
        <f t="shared" ca="1" si="7"/>
        <v>6.2360956446232363</v>
      </c>
    </row>
    <row r="17" spans="1:13" x14ac:dyDescent="0.55000000000000004">
      <c r="A17">
        <v>16</v>
      </c>
      <c r="B17">
        <f t="shared" ca="1" si="0"/>
        <v>75</v>
      </c>
      <c r="C17">
        <f t="shared" ca="1" si="0"/>
        <v>35</v>
      </c>
      <c r="D17">
        <f t="shared" ca="1" si="0"/>
        <v>45</v>
      </c>
      <c r="E17">
        <f t="shared" ca="1" si="0"/>
        <v>70</v>
      </c>
      <c r="F17">
        <f t="shared" ca="1" si="0"/>
        <v>55</v>
      </c>
      <c r="G17">
        <f t="shared" ca="1" si="1"/>
        <v>70</v>
      </c>
      <c r="H17">
        <f t="shared" ca="1" si="1"/>
        <v>50</v>
      </c>
      <c r="I17">
        <f t="shared" ca="1" si="1"/>
        <v>85</v>
      </c>
      <c r="J17">
        <f t="shared" ca="1" si="2"/>
        <v>70</v>
      </c>
      <c r="K17">
        <f t="shared" ca="1" si="3"/>
        <v>555</v>
      </c>
      <c r="L17" s="1">
        <f t="shared" ca="1" si="6"/>
        <v>14.624940645653536</v>
      </c>
      <c r="M17" s="1">
        <f t="shared" ca="1" si="7"/>
        <v>14.337208778404378</v>
      </c>
    </row>
    <row r="18" spans="1:13" x14ac:dyDescent="0.55000000000000004">
      <c r="A18">
        <v>17</v>
      </c>
      <c r="B18">
        <f t="shared" ca="1" si="0"/>
        <v>60</v>
      </c>
      <c r="C18">
        <f t="shared" ca="1" si="0"/>
        <v>30</v>
      </c>
      <c r="D18">
        <f t="shared" ca="1" si="0"/>
        <v>50</v>
      </c>
      <c r="E18">
        <f t="shared" ca="1" si="0"/>
        <v>60</v>
      </c>
      <c r="F18">
        <f t="shared" ca="1" si="0"/>
        <v>60</v>
      </c>
      <c r="G18">
        <f t="shared" ca="1" si="1"/>
        <v>55</v>
      </c>
      <c r="H18">
        <f t="shared" ca="1" si="1"/>
        <v>50</v>
      </c>
      <c r="I18">
        <f t="shared" ca="1" si="1"/>
        <v>65</v>
      </c>
      <c r="J18">
        <f t="shared" ca="1" si="2"/>
        <v>25</v>
      </c>
      <c r="K18">
        <f t="shared" ca="1" si="3"/>
        <v>455</v>
      </c>
      <c r="L18" s="1">
        <f t="shared" ca="1" si="6"/>
        <v>14.648663192705788</v>
      </c>
      <c r="M18" s="1">
        <f t="shared" ca="1" si="7"/>
        <v>6.2360956446232354</v>
      </c>
    </row>
    <row r="19" spans="1:13" x14ac:dyDescent="0.55000000000000004">
      <c r="A19">
        <v>18</v>
      </c>
      <c r="B19">
        <f t="shared" ca="1" si="0"/>
        <v>70</v>
      </c>
      <c r="C19">
        <f t="shared" ca="1" si="0"/>
        <v>20</v>
      </c>
      <c r="D19">
        <f t="shared" ca="1" si="0"/>
        <v>75</v>
      </c>
      <c r="E19">
        <f t="shared" ca="1" si="0"/>
        <v>65</v>
      </c>
      <c r="F19">
        <f t="shared" ca="1" si="0"/>
        <v>50</v>
      </c>
      <c r="G19">
        <f t="shared" ca="1" si="1"/>
        <v>55</v>
      </c>
      <c r="H19">
        <f t="shared" ca="1" si="1"/>
        <v>45</v>
      </c>
      <c r="I19">
        <f t="shared" ca="1" si="1"/>
        <v>60</v>
      </c>
      <c r="J19">
        <f t="shared" ca="1" si="2"/>
        <v>60</v>
      </c>
      <c r="K19">
        <f t="shared" ca="1" si="3"/>
        <v>500</v>
      </c>
      <c r="L19" s="1">
        <f t="shared" ca="1" si="6"/>
        <v>18.181186857726189</v>
      </c>
      <c r="M19" s="1">
        <f t="shared" ca="1" si="7"/>
        <v>6.2360956446232354</v>
      </c>
    </row>
    <row r="20" spans="1:13" x14ac:dyDescent="0.55000000000000004">
      <c r="A20">
        <v>19</v>
      </c>
      <c r="B20">
        <f t="shared" ca="1" si="0"/>
        <v>35</v>
      </c>
      <c r="C20">
        <f t="shared" ca="1" si="0"/>
        <v>40</v>
      </c>
      <c r="D20">
        <f t="shared" ca="1" si="0"/>
        <v>65</v>
      </c>
      <c r="E20">
        <f t="shared" ca="1" si="0"/>
        <v>65</v>
      </c>
      <c r="F20">
        <f t="shared" ca="1" si="0"/>
        <v>35</v>
      </c>
      <c r="G20">
        <f t="shared" ca="1" si="1"/>
        <v>90</v>
      </c>
      <c r="H20">
        <f t="shared" ca="1" si="1"/>
        <v>75</v>
      </c>
      <c r="I20">
        <f t="shared" ca="1" si="1"/>
        <v>80</v>
      </c>
      <c r="J20">
        <f t="shared" ca="1" si="2"/>
        <v>65</v>
      </c>
      <c r="K20">
        <f t="shared" ca="1" si="3"/>
        <v>550</v>
      </c>
      <c r="L20" s="1">
        <f t="shared" ca="1" si="6"/>
        <v>14.264368973853076</v>
      </c>
      <c r="M20" s="1">
        <f t="shared" ca="1" si="7"/>
        <v>6.2360956446232363</v>
      </c>
    </row>
    <row r="21" spans="1:13" x14ac:dyDescent="0.55000000000000004">
      <c r="A21">
        <v>20</v>
      </c>
      <c r="B21">
        <f t="shared" ca="1" si="0"/>
        <v>75</v>
      </c>
      <c r="C21">
        <f t="shared" ca="1" si="0"/>
        <v>60</v>
      </c>
      <c r="D21">
        <f t="shared" ca="1" si="0"/>
        <v>65</v>
      </c>
      <c r="E21">
        <f t="shared" ca="1" si="0"/>
        <v>35</v>
      </c>
      <c r="F21">
        <f t="shared" ca="1" si="0"/>
        <v>45</v>
      </c>
      <c r="G21">
        <f t="shared" ca="1" si="1"/>
        <v>75</v>
      </c>
      <c r="H21">
        <f t="shared" ca="1" si="1"/>
        <v>70</v>
      </c>
      <c r="I21">
        <f t="shared" ca="1" si="1"/>
        <v>65</v>
      </c>
      <c r="J21">
        <f t="shared" ca="1" si="2"/>
        <v>50</v>
      </c>
      <c r="K21">
        <f t="shared" ca="1" si="3"/>
        <v>540</v>
      </c>
      <c r="L21" s="1">
        <f t="shared" ca="1" si="6"/>
        <v>13.228756555322953</v>
      </c>
      <c r="M21" s="1">
        <f t="shared" ca="1" si="7"/>
        <v>4.0824829046386304</v>
      </c>
    </row>
    <row r="22" spans="1:13" x14ac:dyDescent="0.55000000000000004">
      <c r="A22">
        <v>21</v>
      </c>
      <c r="B22">
        <f t="shared" ca="1" si="0"/>
        <v>65</v>
      </c>
      <c r="C22">
        <f t="shared" ca="1" si="0"/>
        <v>20</v>
      </c>
      <c r="D22">
        <f t="shared" ca="1" si="0"/>
        <v>75</v>
      </c>
      <c r="E22">
        <f t="shared" ca="1" si="0"/>
        <v>60</v>
      </c>
      <c r="F22">
        <f t="shared" ca="1" si="0"/>
        <v>75</v>
      </c>
      <c r="G22">
        <f t="shared" ca="1" si="1"/>
        <v>60</v>
      </c>
      <c r="H22">
        <f t="shared" ca="1" si="1"/>
        <v>60</v>
      </c>
      <c r="I22">
        <f t="shared" ca="1" si="1"/>
        <v>40</v>
      </c>
      <c r="J22">
        <f t="shared" ca="1" si="2"/>
        <v>55</v>
      </c>
      <c r="K22">
        <f t="shared" ca="1" si="3"/>
        <v>510</v>
      </c>
      <c r="L22" s="1">
        <f t="shared" ca="1" si="6"/>
        <v>18.633899812498246</v>
      </c>
      <c r="M22" s="1">
        <f t="shared" ca="1" si="7"/>
        <v>9.428090415820634</v>
      </c>
    </row>
    <row r="23" spans="1:13" x14ac:dyDescent="0.55000000000000004">
      <c r="A23">
        <v>22</v>
      </c>
      <c r="B23">
        <f t="shared" ca="1" si="0"/>
        <v>55</v>
      </c>
      <c r="C23">
        <f t="shared" ca="1" si="0"/>
        <v>45</v>
      </c>
      <c r="D23">
        <f t="shared" ca="1" si="0"/>
        <v>35</v>
      </c>
      <c r="E23">
        <f t="shared" ca="1" si="0"/>
        <v>45</v>
      </c>
      <c r="F23">
        <f t="shared" ca="1" si="0"/>
        <v>70</v>
      </c>
      <c r="G23">
        <f t="shared" ca="1" si="1"/>
        <v>90</v>
      </c>
      <c r="H23">
        <f t="shared" ca="1" si="1"/>
        <v>75</v>
      </c>
      <c r="I23">
        <f t="shared" ca="1" si="1"/>
        <v>85</v>
      </c>
      <c r="J23">
        <f t="shared" ca="1" si="2"/>
        <v>65</v>
      </c>
      <c r="K23">
        <f t="shared" ca="1" si="3"/>
        <v>565</v>
      </c>
      <c r="L23" s="1">
        <f t="shared" ca="1" si="6"/>
        <v>12.162099599438687</v>
      </c>
      <c r="M23" s="1">
        <f t="shared" ca="1" si="7"/>
        <v>6.2360956446232363</v>
      </c>
    </row>
    <row r="24" spans="1:13" x14ac:dyDescent="0.55000000000000004">
      <c r="A24">
        <v>23</v>
      </c>
      <c r="B24">
        <f t="shared" ca="1" si="0"/>
        <v>50</v>
      </c>
      <c r="C24">
        <f t="shared" ca="1" si="0"/>
        <v>50</v>
      </c>
      <c r="D24">
        <f t="shared" ca="1" si="0"/>
        <v>50</v>
      </c>
      <c r="E24">
        <f t="shared" ca="1" si="0"/>
        <v>65</v>
      </c>
      <c r="F24">
        <f t="shared" ca="1" si="0"/>
        <v>60</v>
      </c>
      <c r="G24">
        <f t="shared" ca="1" si="1"/>
        <v>50</v>
      </c>
      <c r="H24">
        <f t="shared" ca="1" si="1"/>
        <v>80</v>
      </c>
      <c r="I24">
        <f t="shared" ca="1" si="1"/>
        <v>85</v>
      </c>
      <c r="J24">
        <f t="shared" ca="1" si="2"/>
        <v>85</v>
      </c>
      <c r="K24">
        <f t="shared" ca="1" si="3"/>
        <v>575</v>
      </c>
      <c r="L24" s="1">
        <f t="shared" ca="1" si="6"/>
        <v>12.583057392117917</v>
      </c>
      <c r="M24" s="1">
        <f t="shared" ca="1" si="7"/>
        <v>15.456030825826172</v>
      </c>
    </row>
    <row r="25" spans="1:13" x14ac:dyDescent="0.55000000000000004">
      <c r="A25">
        <v>24</v>
      </c>
      <c r="B25">
        <f t="shared" ca="1" si="0"/>
        <v>55</v>
      </c>
      <c r="C25">
        <f t="shared" ca="1" si="0"/>
        <v>45</v>
      </c>
      <c r="D25">
        <f t="shared" ca="1" si="0"/>
        <v>55</v>
      </c>
      <c r="E25">
        <f t="shared" ca="1" si="0"/>
        <v>60</v>
      </c>
      <c r="F25">
        <f t="shared" ca="1" si="0"/>
        <v>35</v>
      </c>
      <c r="G25">
        <f t="shared" ca="1" si="1"/>
        <v>80</v>
      </c>
      <c r="H25">
        <f t="shared" ca="1" si="1"/>
        <v>70</v>
      </c>
      <c r="I25">
        <f t="shared" ca="1" si="1"/>
        <v>55</v>
      </c>
      <c r="J25">
        <f t="shared" ca="1" si="2"/>
        <v>65</v>
      </c>
      <c r="K25">
        <f t="shared" ca="1" si="3"/>
        <v>520</v>
      </c>
      <c r="L25" s="1">
        <f t="shared" ca="1" si="6"/>
        <v>9.8952850725315979</v>
      </c>
      <c r="M25" s="1">
        <f t="shared" ca="1" si="7"/>
        <v>10.274023338281628</v>
      </c>
    </row>
    <row r="26" spans="1:13" x14ac:dyDescent="0.55000000000000004">
      <c r="A26">
        <v>25</v>
      </c>
      <c r="B26">
        <f t="shared" ca="1" si="0"/>
        <v>60</v>
      </c>
      <c r="C26">
        <f t="shared" ca="1" si="0"/>
        <v>30</v>
      </c>
      <c r="D26">
        <f t="shared" ca="1" si="0"/>
        <v>45</v>
      </c>
      <c r="E26">
        <f t="shared" ca="1" si="0"/>
        <v>60</v>
      </c>
      <c r="F26">
        <f t="shared" ca="1" si="0"/>
        <v>50</v>
      </c>
      <c r="G26">
        <f t="shared" ca="1" si="1"/>
        <v>45</v>
      </c>
      <c r="H26">
        <f t="shared" ca="1" si="1"/>
        <v>90</v>
      </c>
      <c r="I26">
        <f t="shared" ca="1" si="1"/>
        <v>65</v>
      </c>
      <c r="J26">
        <f t="shared" ca="1" si="2"/>
        <v>50</v>
      </c>
      <c r="K26">
        <f t="shared" ca="1" si="3"/>
        <v>495</v>
      </c>
      <c r="L26" s="1">
        <f t="shared" ca="1" si="6"/>
        <v>10.172129679778086</v>
      </c>
      <c r="M26" s="1">
        <f t="shared" ca="1" si="7"/>
        <v>18.408935028645434</v>
      </c>
    </row>
  </sheetData>
  <phoneticPr fontId="1"/>
  <conditionalFormatting sqref="B2:B1048576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1048576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2:D1048576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2:E1048576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:F1048576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2:G1048576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2:H1048576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:I1048576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2:J1048576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2:K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2">
                <anchor moveWithCells="1" sizeWithCells="1">
                  <from>
                    <xdr:col>13</xdr:col>
                    <xdr:colOff>19050</xdr:colOff>
                    <xdr:row>1</xdr:row>
                    <xdr:rowOff>12700</xdr:rowOff>
                  </from>
                  <to>
                    <xdr:col>15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E6D4-9CF2-4E46-8177-10FD6ED633DF}">
  <sheetPr codeName="Sheet1"/>
  <dimension ref="A1:N58"/>
  <sheetViews>
    <sheetView workbookViewId="0">
      <selection activeCell="D3" sqref="D3"/>
    </sheetView>
  </sheetViews>
  <sheetFormatPr defaultRowHeight="18" x14ac:dyDescent="0.55000000000000004"/>
  <cols>
    <col min="13" max="13" width="5" bestFit="1" customWidth="1"/>
  </cols>
  <sheetData>
    <row r="1" spans="1:14" x14ac:dyDescent="0.55000000000000004">
      <c r="B1" s="2" t="s">
        <v>16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2" spans="1:14" ht="18.5" thickBot="1" x14ac:dyDescent="0.6">
      <c r="B2" s="3"/>
      <c r="C2" s="4"/>
      <c r="D2" s="4">
        <v>100</v>
      </c>
      <c r="E2" s="4"/>
      <c r="F2" s="4"/>
      <c r="G2" s="4"/>
      <c r="H2" s="4"/>
      <c r="I2" s="4">
        <v>3</v>
      </c>
      <c r="J2" s="4"/>
      <c r="K2" s="5"/>
    </row>
    <row r="3" spans="1:14" x14ac:dyDescent="0.55000000000000004">
      <c r="D3">
        <v>2</v>
      </c>
      <c r="I3">
        <v>2</v>
      </c>
    </row>
    <row r="4" spans="1:14" hidden="1" x14ac:dyDescent="0.55000000000000004">
      <c r="C4">
        <f>C2*C3</f>
        <v>0</v>
      </c>
      <c r="D4">
        <f t="shared" ref="D4:J4" si="0">D2*D3</f>
        <v>200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6</v>
      </c>
      <c r="J4">
        <f t="shared" si="0"/>
        <v>0</v>
      </c>
    </row>
    <row r="5" spans="1:14" x14ac:dyDescent="0.55000000000000004">
      <c r="B5" t="s">
        <v>79</v>
      </c>
      <c r="C5">
        <f>SUM(C4:J4)</f>
        <v>206</v>
      </c>
      <c r="D5" t="s">
        <v>80</v>
      </c>
      <c r="E5">
        <f>$I$2*2</f>
        <v>6</v>
      </c>
    </row>
    <row r="7" spans="1:14" x14ac:dyDescent="0.55000000000000004">
      <c r="A7" t="s">
        <v>84</v>
      </c>
      <c r="B7" t="s">
        <v>83</v>
      </c>
      <c r="C7" t="s">
        <v>72</v>
      </c>
      <c r="D7" t="s">
        <v>73</v>
      </c>
      <c r="E7" t="s">
        <v>78</v>
      </c>
      <c r="F7" t="s">
        <v>74</v>
      </c>
      <c r="G7" t="s">
        <v>75</v>
      </c>
      <c r="H7" t="s">
        <v>71</v>
      </c>
      <c r="I7" t="s">
        <v>76</v>
      </c>
      <c r="J7" t="s">
        <v>71</v>
      </c>
      <c r="K7" t="s">
        <v>77</v>
      </c>
      <c r="L7" t="s">
        <v>81</v>
      </c>
      <c r="N7" t="s">
        <v>82</v>
      </c>
    </row>
    <row r="8" spans="1:14" x14ac:dyDescent="0.55000000000000004">
      <c r="A8" t="b">
        <v>0</v>
      </c>
      <c r="C8" t="s">
        <v>20</v>
      </c>
      <c r="D8">
        <v>15</v>
      </c>
      <c r="E8">
        <f t="shared" ref="E8:E39" si="1">99-D8</f>
        <v>84</v>
      </c>
      <c r="L8" s="1">
        <f ca="1">RAND()*100</f>
        <v>40.070573006313893</v>
      </c>
      <c r="M8" s="6">
        <f ca="1">L8/SUM(L:L)</f>
        <v>1.5477371008596249E-2</v>
      </c>
      <c r="N8">
        <f ca="1">RANK(L8,$L$8:$L$58,)</f>
        <v>28</v>
      </c>
    </row>
    <row r="9" spans="1:14" x14ac:dyDescent="0.55000000000000004">
      <c r="A9" t="b">
        <v>0</v>
      </c>
      <c r="C9" t="s">
        <v>21</v>
      </c>
      <c r="D9">
        <v>5</v>
      </c>
      <c r="E9">
        <f t="shared" si="1"/>
        <v>94</v>
      </c>
      <c r="L9" s="1">
        <f t="shared" ref="L9:L58" ca="1" si="2">RAND()*100</f>
        <v>50.508626411970035</v>
      </c>
      <c r="M9" s="6">
        <f t="shared" ref="M9:M58" ca="1" si="3">L9/SUM(L:L)</f>
        <v>1.950909835977303E-2</v>
      </c>
      <c r="N9">
        <f t="shared" ref="N9:N58" ca="1" si="4">RANK(L9,$L$8:$L$58,)</f>
        <v>26</v>
      </c>
    </row>
    <row r="10" spans="1:14" x14ac:dyDescent="0.55000000000000004">
      <c r="A10" t="b">
        <v>0</v>
      </c>
      <c r="C10" t="s">
        <v>22</v>
      </c>
      <c r="D10">
        <v>1</v>
      </c>
      <c r="E10">
        <f t="shared" si="1"/>
        <v>98</v>
      </c>
      <c r="L10" s="1">
        <f t="shared" ca="1" si="2"/>
        <v>58.547405277300143</v>
      </c>
      <c r="M10" s="6">
        <f t="shared" ca="1" si="3"/>
        <v>2.261409920254041E-2</v>
      </c>
      <c r="N10">
        <f t="shared" ca="1" si="4"/>
        <v>22</v>
      </c>
    </row>
    <row r="11" spans="1:14" x14ac:dyDescent="0.55000000000000004">
      <c r="A11" t="b">
        <v>0</v>
      </c>
      <c r="C11" t="s">
        <v>23</v>
      </c>
      <c r="D11">
        <v>20</v>
      </c>
      <c r="E11">
        <f t="shared" si="1"/>
        <v>79</v>
      </c>
      <c r="L11" s="1">
        <f t="shared" ca="1" si="2"/>
        <v>74.787289143988801</v>
      </c>
      <c r="M11" s="6">
        <f t="shared" ca="1" si="3"/>
        <v>2.8886799812577899E-2</v>
      </c>
      <c r="N11">
        <f t="shared" ca="1" si="4"/>
        <v>13</v>
      </c>
    </row>
    <row r="12" spans="1:14" x14ac:dyDescent="0.55000000000000004">
      <c r="A12" t="b">
        <v>0</v>
      </c>
      <c r="C12" t="s">
        <v>24</v>
      </c>
      <c r="D12">
        <v>20</v>
      </c>
      <c r="E12">
        <f t="shared" si="1"/>
        <v>79</v>
      </c>
      <c r="L12" s="1">
        <f t="shared" ca="1" si="2"/>
        <v>45.824855718679103</v>
      </c>
      <c r="M12" s="6">
        <f t="shared" ca="1" si="3"/>
        <v>1.7699978816415583E-2</v>
      </c>
      <c r="N12">
        <f t="shared" ca="1" si="4"/>
        <v>27</v>
      </c>
    </row>
    <row r="13" spans="1:14" x14ac:dyDescent="0.55000000000000004">
      <c r="A13" t="b">
        <v>0</v>
      </c>
      <c r="C13" t="s">
        <v>25</v>
      </c>
      <c r="D13">
        <v>30</v>
      </c>
      <c r="E13">
        <f t="shared" si="1"/>
        <v>69</v>
      </c>
      <c r="L13" s="1">
        <f t="shared" ca="1" si="2"/>
        <v>10.063218435656607</v>
      </c>
      <c r="M13" s="6">
        <f t="shared" ca="1" si="3"/>
        <v>3.8869462945953157E-3</v>
      </c>
      <c r="N13">
        <f t="shared" ca="1" si="4"/>
        <v>46</v>
      </c>
    </row>
    <row r="14" spans="1:14" x14ac:dyDescent="0.55000000000000004">
      <c r="A14" t="b">
        <v>0</v>
      </c>
      <c r="C14" t="s">
        <v>26</v>
      </c>
      <c r="D14">
        <v>5</v>
      </c>
      <c r="E14">
        <f t="shared" si="1"/>
        <v>94</v>
      </c>
      <c r="L14" s="1">
        <f t="shared" ca="1" si="2"/>
        <v>95.885802157998029</v>
      </c>
      <c r="M14" s="6">
        <f t="shared" ca="1" si="3"/>
        <v>3.7036159533390053E-2</v>
      </c>
      <c r="N14">
        <f t="shared" ca="1" si="4"/>
        <v>4</v>
      </c>
    </row>
    <row r="15" spans="1:14" x14ac:dyDescent="0.55000000000000004">
      <c r="A15" t="b">
        <v>0</v>
      </c>
      <c r="C15" t="s">
        <v>27</v>
      </c>
      <c r="D15">
        <v>20</v>
      </c>
      <c r="E15">
        <f t="shared" si="1"/>
        <v>79</v>
      </c>
      <c r="L15" s="1">
        <f t="shared" ca="1" si="2"/>
        <v>54.022080055639123</v>
      </c>
      <c r="M15" s="6">
        <f t="shared" ca="1" si="3"/>
        <v>2.0866179666197131E-2</v>
      </c>
      <c r="N15">
        <f t="shared" ca="1" si="4"/>
        <v>24</v>
      </c>
    </row>
    <row r="16" spans="1:14" x14ac:dyDescent="0.55000000000000004">
      <c r="A16" t="b">
        <v>0</v>
      </c>
      <c r="C16" t="s">
        <v>28</v>
      </c>
      <c r="D16">
        <f>$D$2/2</f>
        <v>50</v>
      </c>
      <c r="E16">
        <f t="shared" si="1"/>
        <v>49</v>
      </c>
      <c r="L16" s="1">
        <f t="shared" ca="1" si="2"/>
        <v>62.658552341695618</v>
      </c>
      <c r="M16" s="6">
        <f t="shared" ca="1" si="3"/>
        <v>2.4202041266072269E-2</v>
      </c>
      <c r="N16">
        <f t="shared" ca="1" si="4"/>
        <v>19</v>
      </c>
    </row>
    <row r="17" spans="1:14" x14ac:dyDescent="0.55000000000000004">
      <c r="A17" t="b">
        <v>0</v>
      </c>
      <c r="C17" t="s">
        <v>29</v>
      </c>
      <c r="D17">
        <v>1</v>
      </c>
      <c r="E17">
        <f t="shared" si="1"/>
        <v>98</v>
      </c>
      <c r="L17" s="1">
        <f t="shared" ca="1" si="2"/>
        <v>5.9987363204146327</v>
      </c>
      <c r="M17" s="6">
        <f t="shared" ca="1" si="3"/>
        <v>2.3170286983210673E-3</v>
      </c>
      <c r="N17">
        <f t="shared" ca="1" si="4"/>
        <v>48</v>
      </c>
    </row>
    <row r="18" spans="1:14" x14ac:dyDescent="0.55000000000000004">
      <c r="A18" t="b">
        <v>0</v>
      </c>
      <c r="C18" t="s">
        <v>30</v>
      </c>
      <c r="D18">
        <v>1</v>
      </c>
      <c r="E18">
        <f t="shared" si="1"/>
        <v>98</v>
      </c>
      <c r="L18" s="1">
        <f t="shared" ca="1" si="2"/>
        <v>55.383873574499852</v>
      </c>
      <c r="M18" s="6">
        <f t="shared" ca="1" si="3"/>
        <v>2.1392176225447437E-2</v>
      </c>
      <c r="N18">
        <f t="shared" ca="1" si="4"/>
        <v>23</v>
      </c>
    </row>
    <row r="19" spans="1:14" x14ac:dyDescent="0.55000000000000004">
      <c r="A19" t="b">
        <v>0</v>
      </c>
      <c r="C19" t="s">
        <v>31</v>
      </c>
      <c r="D19">
        <v>5</v>
      </c>
      <c r="E19">
        <f t="shared" si="1"/>
        <v>94</v>
      </c>
      <c r="L19" s="1">
        <f t="shared" ca="1" si="2"/>
        <v>80.476969742456276</v>
      </c>
      <c r="M19" s="6">
        <f t="shared" ca="1" si="3"/>
        <v>3.1084454873038785E-2</v>
      </c>
      <c r="N19">
        <f t="shared" ca="1" si="4"/>
        <v>12</v>
      </c>
    </row>
    <row r="20" spans="1:14" x14ac:dyDescent="0.55000000000000004">
      <c r="A20" t="b">
        <v>0</v>
      </c>
      <c r="C20" t="s">
        <v>32</v>
      </c>
      <c r="D20">
        <v>10</v>
      </c>
      <c r="E20">
        <f t="shared" si="1"/>
        <v>89</v>
      </c>
      <c r="L20" s="1">
        <f t="shared" ca="1" si="2"/>
        <v>12.007015898331952</v>
      </c>
      <c r="M20" s="6">
        <f t="shared" ca="1" si="3"/>
        <v>4.6377435065706445E-3</v>
      </c>
      <c r="N20">
        <f t="shared" ca="1" si="4"/>
        <v>45</v>
      </c>
    </row>
    <row r="21" spans="1:14" x14ac:dyDescent="0.55000000000000004">
      <c r="A21" t="b">
        <v>0</v>
      </c>
      <c r="C21" t="s">
        <v>33</v>
      </c>
      <c r="D21">
        <v>20</v>
      </c>
      <c r="E21">
        <f t="shared" si="1"/>
        <v>79</v>
      </c>
      <c r="L21" s="1">
        <f t="shared" ca="1" si="2"/>
        <v>98.161815105067646</v>
      </c>
      <c r="M21" s="6">
        <f t="shared" ca="1" si="3"/>
        <v>3.7915275906310754E-2</v>
      </c>
      <c r="N21">
        <f t="shared" ca="1" si="4"/>
        <v>1</v>
      </c>
    </row>
    <row r="22" spans="1:14" x14ac:dyDescent="0.55000000000000004">
      <c r="A22" t="b">
        <v>0</v>
      </c>
      <c r="C22" t="s">
        <v>34</v>
      </c>
      <c r="D22">
        <v>25</v>
      </c>
      <c r="E22">
        <f t="shared" si="1"/>
        <v>74</v>
      </c>
      <c r="L22" s="1">
        <f t="shared" ca="1" si="2"/>
        <v>24.813461762924081</v>
      </c>
      <c r="M22" s="6">
        <f t="shared" ca="1" si="3"/>
        <v>9.584269075759877E-3</v>
      </c>
      <c r="N22">
        <f t="shared" ca="1" si="4"/>
        <v>40</v>
      </c>
    </row>
    <row r="23" spans="1:14" x14ac:dyDescent="0.55000000000000004">
      <c r="A23" t="b">
        <v>0</v>
      </c>
      <c r="C23" t="s">
        <v>35</v>
      </c>
      <c r="D23">
        <v>0</v>
      </c>
      <c r="E23">
        <f t="shared" si="1"/>
        <v>99</v>
      </c>
      <c r="L23" s="1">
        <f t="shared" ca="1" si="2"/>
        <v>33.542893306074163</v>
      </c>
      <c r="M23" s="6">
        <f t="shared" ca="1" si="3"/>
        <v>1.2956036448943878E-2</v>
      </c>
      <c r="N23">
        <f t="shared" ca="1" si="4"/>
        <v>37</v>
      </c>
    </row>
    <row r="24" spans="1:14" x14ac:dyDescent="0.55000000000000004">
      <c r="A24" t="b">
        <v>0</v>
      </c>
      <c r="C24" t="s">
        <v>36</v>
      </c>
      <c r="D24">
        <v>0</v>
      </c>
      <c r="E24">
        <f t="shared" si="1"/>
        <v>99</v>
      </c>
      <c r="L24" s="1">
        <f t="shared" ca="1" si="2"/>
        <v>90.68030184621432</v>
      </c>
      <c r="M24" s="6">
        <f t="shared" ca="1" si="3"/>
        <v>3.5025520464212152E-2</v>
      </c>
      <c r="N24">
        <f t="shared" ca="1" si="4"/>
        <v>7</v>
      </c>
    </row>
    <row r="25" spans="1:14" x14ac:dyDescent="0.55000000000000004">
      <c r="A25" t="b">
        <v>0</v>
      </c>
      <c r="C25" t="s">
        <v>37</v>
      </c>
      <c r="D25">
        <v>5</v>
      </c>
      <c r="E25">
        <f t="shared" si="1"/>
        <v>94</v>
      </c>
      <c r="L25" s="1">
        <f t="shared" ca="1" si="2"/>
        <v>34.213746903918171</v>
      </c>
      <c r="M25" s="6">
        <f t="shared" ca="1" si="3"/>
        <v>1.321515552928863E-2</v>
      </c>
      <c r="N25">
        <f t="shared" ca="1" si="4"/>
        <v>36</v>
      </c>
    </row>
    <row r="26" spans="1:14" x14ac:dyDescent="0.55000000000000004">
      <c r="A26" t="b">
        <v>0</v>
      </c>
      <c r="C26" t="s">
        <v>38</v>
      </c>
      <c r="D26">
        <v>5</v>
      </c>
      <c r="E26">
        <f t="shared" si="1"/>
        <v>94</v>
      </c>
      <c r="L26" s="1">
        <f t="shared" ca="1" si="2"/>
        <v>60.772042434650096</v>
      </c>
      <c r="M26" s="6">
        <f t="shared" ca="1" si="3"/>
        <v>2.3473371532845962E-2</v>
      </c>
      <c r="N26">
        <f t="shared" ca="1" si="4"/>
        <v>21</v>
      </c>
    </row>
    <row r="27" spans="1:14" x14ac:dyDescent="0.55000000000000004">
      <c r="A27" t="b">
        <v>0</v>
      </c>
      <c r="C27" t="s">
        <v>39</v>
      </c>
      <c r="D27">
        <v>1</v>
      </c>
      <c r="E27">
        <f t="shared" si="1"/>
        <v>98</v>
      </c>
      <c r="L27" s="1">
        <f t="shared" ca="1" si="2"/>
        <v>96.309983722092426</v>
      </c>
      <c r="M27" s="6">
        <f t="shared" ca="1" si="3"/>
        <v>3.7200000850095484E-2</v>
      </c>
      <c r="N27">
        <f t="shared" ca="1" si="4"/>
        <v>3</v>
      </c>
    </row>
    <row r="28" spans="1:14" x14ac:dyDescent="0.55000000000000004">
      <c r="A28" t="b">
        <v>0</v>
      </c>
      <c r="C28" t="s">
        <v>40</v>
      </c>
      <c r="D28">
        <v>5</v>
      </c>
      <c r="E28">
        <f t="shared" si="1"/>
        <v>94</v>
      </c>
      <c r="L28" s="1">
        <f t="shared" ca="1" si="2"/>
        <v>19.99826678081299</v>
      </c>
      <c r="M28" s="6">
        <f t="shared" ca="1" si="3"/>
        <v>7.7243865328992791E-3</v>
      </c>
      <c r="N28">
        <f t="shared" ca="1" si="4"/>
        <v>42</v>
      </c>
    </row>
    <row r="29" spans="1:14" x14ac:dyDescent="0.55000000000000004">
      <c r="A29" t="b">
        <v>0</v>
      </c>
      <c r="C29" t="s">
        <v>41</v>
      </c>
      <c r="D29">
        <v>10</v>
      </c>
      <c r="E29">
        <f t="shared" si="1"/>
        <v>89</v>
      </c>
      <c r="L29" s="1">
        <f t="shared" ca="1" si="2"/>
        <v>38.572544900898464</v>
      </c>
      <c r="M29" s="6">
        <f t="shared" ca="1" si="3"/>
        <v>1.4898753458875515E-2</v>
      </c>
      <c r="N29">
        <f t="shared" ca="1" si="4"/>
        <v>33</v>
      </c>
    </row>
    <row r="30" spans="1:14" x14ac:dyDescent="0.55000000000000004">
      <c r="A30" t="b">
        <v>0</v>
      </c>
      <c r="C30" t="s">
        <v>42</v>
      </c>
      <c r="D30">
        <v>10</v>
      </c>
      <c r="E30">
        <f t="shared" si="1"/>
        <v>89</v>
      </c>
      <c r="L30" s="1">
        <f t="shared" ca="1" si="2"/>
        <v>0.89384064324316004</v>
      </c>
      <c r="M30" s="6">
        <f t="shared" ca="1" si="3"/>
        <v>3.4524845092324599E-4</v>
      </c>
      <c r="N30">
        <f t="shared" ca="1" si="4"/>
        <v>51</v>
      </c>
    </row>
    <row r="31" spans="1:14" x14ac:dyDescent="0.55000000000000004">
      <c r="A31" t="b">
        <v>0</v>
      </c>
      <c r="C31" t="s">
        <v>43</v>
      </c>
      <c r="D31">
        <v>20</v>
      </c>
      <c r="E31">
        <f t="shared" si="1"/>
        <v>79</v>
      </c>
      <c r="L31" s="1">
        <f t="shared" ca="1" si="2"/>
        <v>93.047865780312407</v>
      </c>
      <c r="M31" s="6">
        <f t="shared" ca="1" si="3"/>
        <v>3.5939998662186362E-2</v>
      </c>
      <c r="N31">
        <f t="shared" ca="1" si="4"/>
        <v>6</v>
      </c>
    </row>
    <row r="32" spans="1:14" x14ac:dyDescent="0.55000000000000004">
      <c r="A32" t="b">
        <v>0</v>
      </c>
      <c r="C32" t="s">
        <v>44</v>
      </c>
      <c r="D32">
        <v>25</v>
      </c>
      <c r="E32">
        <f t="shared" si="1"/>
        <v>74</v>
      </c>
      <c r="L32" s="1">
        <f t="shared" ca="1" si="2"/>
        <v>67.107936472663638</v>
      </c>
      <c r="M32" s="6">
        <f t="shared" ca="1" si="3"/>
        <v>2.5920628343524384E-2</v>
      </c>
      <c r="N32">
        <f t="shared" ca="1" si="4"/>
        <v>18</v>
      </c>
    </row>
    <row r="33" spans="1:14" x14ac:dyDescent="0.55000000000000004">
      <c r="A33" t="b">
        <v>0</v>
      </c>
      <c r="C33" t="s">
        <v>45</v>
      </c>
      <c r="D33">
        <v>0</v>
      </c>
      <c r="E33">
        <f t="shared" si="1"/>
        <v>99</v>
      </c>
      <c r="L33" s="1">
        <f t="shared" ca="1" si="2"/>
        <v>4.5884988688186468</v>
      </c>
      <c r="M33" s="6">
        <f t="shared" ca="1" si="3"/>
        <v>1.7723205344241063E-3</v>
      </c>
      <c r="N33">
        <f t="shared" ca="1" si="4"/>
        <v>49</v>
      </c>
    </row>
    <row r="34" spans="1:14" x14ac:dyDescent="0.55000000000000004">
      <c r="A34" t="b">
        <v>0</v>
      </c>
      <c r="C34" t="s">
        <v>46</v>
      </c>
      <c r="D34">
        <v>1</v>
      </c>
      <c r="E34">
        <f t="shared" si="1"/>
        <v>98</v>
      </c>
      <c r="L34" s="1">
        <f t="shared" ca="1" si="2"/>
        <v>12.48375432371348</v>
      </c>
      <c r="M34" s="6">
        <f t="shared" ca="1" si="3"/>
        <v>4.8218850580907897E-3</v>
      </c>
      <c r="N34">
        <f t="shared" ca="1" si="4"/>
        <v>44</v>
      </c>
    </row>
    <row r="35" spans="1:14" x14ac:dyDescent="0.55000000000000004">
      <c r="A35" t="b">
        <v>0</v>
      </c>
      <c r="C35" t="s">
        <v>47</v>
      </c>
      <c r="D35">
        <v>5</v>
      </c>
      <c r="E35">
        <f t="shared" si="1"/>
        <v>94</v>
      </c>
      <c r="L35" s="1">
        <f t="shared" ca="1" si="2"/>
        <v>29.379668007027139</v>
      </c>
      <c r="M35" s="6">
        <f t="shared" ca="1" si="3"/>
        <v>1.1347979021475302E-2</v>
      </c>
      <c r="N35">
        <f t="shared" ca="1" si="4"/>
        <v>39</v>
      </c>
    </row>
    <row r="36" spans="1:14" x14ac:dyDescent="0.55000000000000004">
      <c r="A36" t="b">
        <v>0</v>
      </c>
      <c r="C36" t="s">
        <v>48</v>
      </c>
      <c r="D36">
        <v>0</v>
      </c>
      <c r="E36">
        <f t="shared" si="1"/>
        <v>99</v>
      </c>
      <c r="L36" s="1">
        <f t="shared" ca="1" si="2"/>
        <v>39.579390287240088</v>
      </c>
      <c r="M36" s="6">
        <f t="shared" ca="1" si="3"/>
        <v>1.5287650308198016E-2</v>
      </c>
      <c r="N36">
        <f t="shared" ca="1" si="4"/>
        <v>29</v>
      </c>
    </row>
    <row r="37" spans="1:14" x14ac:dyDescent="0.55000000000000004">
      <c r="A37" t="b">
        <v>0</v>
      </c>
      <c r="C37" t="s">
        <v>49</v>
      </c>
      <c r="D37">
        <v>10</v>
      </c>
      <c r="E37">
        <f t="shared" si="1"/>
        <v>89</v>
      </c>
      <c r="L37" s="1">
        <f t="shared" ca="1" si="2"/>
        <v>68.314084865462263</v>
      </c>
      <c r="M37" s="6">
        <f t="shared" ca="1" si="3"/>
        <v>2.6386506537076169E-2</v>
      </c>
      <c r="N37">
        <f t="shared" ca="1" si="4"/>
        <v>17</v>
      </c>
    </row>
    <row r="38" spans="1:14" x14ac:dyDescent="0.55000000000000004">
      <c r="A38" t="b">
        <v>0</v>
      </c>
      <c r="C38" t="s">
        <v>50</v>
      </c>
      <c r="D38">
        <v>1</v>
      </c>
      <c r="E38">
        <f t="shared" si="1"/>
        <v>98</v>
      </c>
      <c r="L38" s="1">
        <f t="shared" ca="1" si="2"/>
        <v>29.817207930985933</v>
      </c>
      <c r="M38" s="6">
        <f t="shared" ca="1" si="3"/>
        <v>1.1516980042077532E-2</v>
      </c>
      <c r="N38">
        <f t="shared" ca="1" si="4"/>
        <v>38</v>
      </c>
    </row>
    <row r="39" spans="1:14" x14ac:dyDescent="0.55000000000000004">
      <c r="A39" t="b">
        <v>0</v>
      </c>
      <c r="C39" t="s">
        <v>51</v>
      </c>
      <c r="D39">
        <v>20</v>
      </c>
      <c r="E39">
        <f t="shared" si="1"/>
        <v>79</v>
      </c>
      <c r="L39" s="1">
        <f t="shared" ca="1" si="2"/>
        <v>53.53053496795043</v>
      </c>
      <c r="M39" s="6">
        <f t="shared" ca="1" si="3"/>
        <v>2.0676318999906879E-2</v>
      </c>
      <c r="N39">
        <f t="shared" ca="1" si="4"/>
        <v>25</v>
      </c>
    </row>
    <row r="40" spans="1:14" x14ac:dyDescent="0.55000000000000004">
      <c r="A40" t="b">
        <v>0</v>
      </c>
      <c r="C40" t="s">
        <v>52</v>
      </c>
      <c r="D40">
        <v>1</v>
      </c>
      <c r="E40">
        <f t="shared" ref="E40:E58" si="5">99-D40</f>
        <v>98</v>
      </c>
      <c r="L40" s="1">
        <f t="shared" ca="1" si="2"/>
        <v>9.7097812330114603</v>
      </c>
      <c r="M40" s="6">
        <f t="shared" ca="1" si="3"/>
        <v>3.7504301855614515E-3</v>
      </c>
      <c r="N40">
        <f t="shared" ca="1" si="4"/>
        <v>47</v>
      </c>
    </row>
    <row r="41" spans="1:14" x14ac:dyDescent="0.55000000000000004">
      <c r="A41" t="b">
        <v>0</v>
      </c>
      <c r="C41" t="s">
        <v>53</v>
      </c>
      <c r="D41">
        <v>10</v>
      </c>
      <c r="E41">
        <f t="shared" si="5"/>
        <v>89</v>
      </c>
      <c r="L41" s="1">
        <f t="shared" ca="1" si="2"/>
        <v>83.320048288879818</v>
      </c>
      <c r="M41" s="6">
        <f t="shared" ca="1" si="3"/>
        <v>3.218260192131394E-2</v>
      </c>
      <c r="N41">
        <f t="shared" ca="1" si="4"/>
        <v>11</v>
      </c>
    </row>
    <row r="42" spans="1:14" x14ac:dyDescent="0.55000000000000004">
      <c r="A42" t="b">
        <v>0</v>
      </c>
      <c r="C42" t="s">
        <v>54</v>
      </c>
      <c r="D42">
        <v>1</v>
      </c>
      <c r="E42">
        <f t="shared" si="5"/>
        <v>98</v>
      </c>
      <c r="L42" s="1">
        <f t="shared" ca="1" si="2"/>
        <v>71.54508264692582</v>
      </c>
      <c r="M42" s="6">
        <f t="shared" ca="1" si="3"/>
        <v>2.763448847593647E-2</v>
      </c>
      <c r="N42">
        <f t="shared" ca="1" si="4"/>
        <v>15</v>
      </c>
    </row>
    <row r="43" spans="1:14" x14ac:dyDescent="0.55000000000000004">
      <c r="A43" t="b">
        <v>0</v>
      </c>
      <c r="C43" t="s">
        <v>55</v>
      </c>
      <c r="D43">
        <v>20</v>
      </c>
      <c r="E43">
        <f t="shared" si="5"/>
        <v>79</v>
      </c>
      <c r="L43" s="1">
        <f t="shared" ca="1" si="2"/>
        <v>88.756877330942686</v>
      </c>
      <c r="M43" s="6">
        <f t="shared" ca="1" si="3"/>
        <v>3.4282592360209307E-2</v>
      </c>
      <c r="N43">
        <f t="shared" ca="1" si="4"/>
        <v>8</v>
      </c>
    </row>
    <row r="44" spans="1:14" x14ac:dyDescent="0.55000000000000004">
      <c r="A44" t="b">
        <v>0</v>
      </c>
      <c r="C44" t="s">
        <v>56</v>
      </c>
      <c r="D44">
        <v>10</v>
      </c>
      <c r="E44">
        <f t="shared" si="5"/>
        <v>89</v>
      </c>
      <c r="L44" s="1">
        <f t="shared" ca="1" si="2"/>
        <v>39.275796149486709</v>
      </c>
      <c r="M44" s="6">
        <f t="shared" ca="1" si="3"/>
        <v>1.5170386222523386E-2</v>
      </c>
      <c r="N44">
        <f t="shared" ca="1" si="4"/>
        <v>30</v>
      </c>
    </row>
    <row r="45" spans="1:14" x14ac:dyDescent="0.55000000000000004">
      <c r="A45" t="b">
        <v>0</v>
      </c>
      <c r="C45" t="s">
        <v>57</v>
      </c>
      <c r="D45">
        <v>10</v>
      </c>
      <c r="E45">
        <f t="shared" si="5"/>
        <v>89</v>
      </c>
      <c r="L45" s="1">
        <f t="shared" ca="1" si="2"/>
        <v>2.2362355343036544</v>
      </c>
      <c r="M45" s="6">
        <f t="shared" ca="1" si="3"/>
        <v>8.6375223587570066E-4</v>
      </c>
      <c r="N45">
        <f t="shared" ca="1" si="4"/>
        <v>50</v>
      </c>
    </row>
    <row r="46" spans="1:14" x14ac:dyDescent="0.55000000000000004">
      <c r="A46" t="b">
        <v>0</v>
      </c>
      <c r="C46" t="s">
        <v>58</v>
      </c>
      <c r="D46">
        <v>10</v>
      </c>
      <c r="E46">
        <f t="shared" si="5"/>
        <v>89</v>
      </c>
      <c r="L46" s="1">
        <f t="shared" ca="1" si="2"/>
        <v>36.094313847963143</v>
      </c>
      <c r="M46" s="6">
        <f t="shared" ca="1" si="3"/>
        <v>1.394152977641756E-2</v>
      </c>
      <c r="N46">
        <f t="shared" ca="1" si="4"/>
        <v>34</v>
      </c>
    </row>
    <row r="47" spans="1:14" x14ac:dyDescent="0.55000000000000004">
      <c r="A47" t="b">
        <v>0</v>
      </c>
      <c r="C47" t="s">
        <v>59</v>
      </c>
      <c r="D47">
        <v>1</v>
      </c>
      <c r="E47">
        <f t="shared" si="5"/>
        <v>98</v>
      </c>
      <c r="L47" s="1">
        <f t="shared" ca="1" si="2"/>
        <v>61.909471418713082</v>
      </c>
      <c r="M47" s="6">
        <f t="shared" ca="1" si="3"/>
        <v>2.3912706662381034E-2</v>
      </c>
      <c r="N47">
        <f t="shared" ca="1" si="4"/>
        <v>20</v>
      </c>
    </row>
    <row r="48" spans="1:14" x14ac:dyDescent="0.55000000000000004">
      <c r="A48" t="b">
        <v>0</v>
      </c>
      <c r="C48" t="s">
        <v>60</v>
      </c>
      <c r="D48">
        <v>20</v>
      </c>
      <c r="E48">
        <f t="shared" si="5"/>
        <v>79</v>
      </c>
      <c r="L48" s="1">
        <f t="shared" ca="1" si="2"/>
        <v>39.062716255818607</v>
      </c>
      <c r="M48" s="6">
        <f t="shared" ca="1" si="3"/>
        <v>1.5088083517037896E-2</v>
      </c>
      <c r="N48">
        <f t="shared" ca="1" si="4"/>
        <v>32</v>
      </c>
    </row>
    <row r="49" spans="1:14" x14ac:dyDescent="0.55000000000000004">
      <c r="A49" t="b">
        <v>0</v>
      </c>
      <c r="C49" t="s">
        <v>61</v>
      </c>
      <c r="D49">
        <v>20</v>
      </c>
      <c r="E49">
        <f t="shared" si="5"/>
        <v>79</v>
      </c>
      <c r="L49" s="1">
        <f t="shared" ca="1" si="2"/>
        <v>69.152510147447174</v>
      </c>
      <c r="M49" s="6">
        <f t="shared" ca="1" si="3"/>
        <v>2.6710350649567963E-2</v>
      </c>
      <c r="N49">
        <f t="shared" ca="1" si="4"/>
        <v>16</v>
      </c>
    </row>
    <row r="50" spans="1:14" x14ac:dyDescent="0.55000000000000004">
      <c r="A50" t="b">
        <v>0</v>
      </c>
      <c r="C50" t="s">
        <v>62</v>
      </c>
      <c r="D50">
        <v>20</v>
      </c>
      <c r="E50">
        <f t="shared" si="5"/>
        <v>79</v>
      </c>
      <c r="L50" s="1">
        <f t="shared" ca="1" si="2"/>
        <v>35.36520064713811</v>
      </c>
      <c r="M50" s="6">
        <f t="shared" ca="1" si="3"/>
        <v>1.3659907761312958E-2</v>
      </c>
      <c r="N50">
        <f t="shared" ca="1" si="4"/>
        <v>35</v>
      </c>
    </row>
    <row r="51" spans="1:14" x14ac:dyDescent="0.55000000000000004">
      <c r="A51" t="b">
        <v>0</v>
      </c>
      <c r="C51" t="s">
        <v>63</v>
      </c>
      <c r="D51">
        <v>10</v>
      </c>
      <c r="E51">
        <f t="shared" si="5"/>
        <v>89</v>
      </c>
      <c r="L51" s="1">
        <f t="shared" ca="1" si="2"/>
        <v>39.065971669905785</v>
      </c>
      <c r="M51" s="6">
        <f t="shared" ca="1" si="3"/>
        <v>1.5089340929843197E-2</v>
      </c>
      <c r="N51">
        <f t="shared" ca="1" si="4"/>
        <v>31</v>
      </c>
    </row>
    <row r="52" spans="1:14" x14ac:dyDescent="0.55000000000000004">
      <c r="A52" t="b">
        <v>0</v>
      </c>
      <c r="C52" t="s">
        <v>64</v>
      </c>
      <c r="D52">
        <v>5</v>
      </c>
      <c r="E52">
        <f t="shared" si="5"/>
        <v>94</v>
      </c>
      <c r="L52" s="1">
        <f t="shared" ca="1" si="2"/>
        <v>85.588305834410733</v>
      </c>
      <c r="M52" s="6">
        <f t="shared" ca="1" si="3"/>
        <v>3.3058722748677653E-2</v>
      </c>
      <c r="N52">
        <f t="shared" ca="1" si="4"/>
        <v>9</v>
      </c>
    </row>
    <row r="53" spans="1:14" x14ac:dyDescent="0.55000000000000004">
      <c r="A53" t="b">
        <v>0</v>
      </c>
      <c r="C53" t="s">
        <v>65</v>
      </c>
      <c r="D53">
        <v>5</v>
      </c>
      <c r="E53">
        <f t="shared" si="5"/>
        <v>94</v>
      </c>
      <c r="L53" s="1">
        <f t="shared" ca="1" si="2"/>
        <v>13.967365517225472</v>
      </c>
      <c r="M53" s="6">
        <f t="shared" ca="1" si="3"/>
        <v>5.3949340352260353E-3</v>
      </c>
      <c r="N53">
        <f t="shared" ca="1" si="4"/>
        <v>43</v>
      </c>
    </row>
    <row r="54" spans="1:14" x14ac:dyDescent="0.55000000000000004">
      <c r="A54" t="b">
        <v>0</v>
      </c>
      <c r="C54" t="s">
        <v>66</v>
      </c>
      <c r="D54">
        <v>1</v>
      </c>
      <c r="E54">
        <f t="shared" si="5"/>
        <v>98</v>
      </c>
      <c r="L54" s="1">
        <f t="shared" ca="1" si="2"/>
        <v>23.434869581481589</v>
      </c>
      <c r="M54" s="6">
        <f t="shared" ca="1" si="3"/>
        <v>9.0517839860564317E-3</v>
      </c>
      <c r="N54">
        <f t="shared" ca="1" si="4"/>
        <v>41</v>
      </c>
    </row>
    <row r="55" spans="1:14" x14ac:dyDescent="0.55000000000000004">
      <c r="A55" t="b">
        <v>0</v>
      </c>
      <c r="C55" t="s">
        <v>67</v>
      </c>
      <c r="D55">
        <v>0</v>
      </c>
      <c r="E55">
        <f t="shared" si="5"/>
        <v>99</v>
      </c>
      <c r="L55" s="1">
        <f t="shared" ca="1" si="2"/>
        <v>97.344668866023127</v>
      </c>
      <c r="M55" s="6">
        <f t="shared" ca="1" si="3"/>
        <v>3.7599650883729262E-2</v>
      </c>
      <c r="N55">
        <f t="shared" ca="1" si="4"/>
        <v>2</v>
      </c>
    </row>
    <row r="56" spans="1:14" x14ac:dyDescent="0.55000000000000004">
      <c r="A56" t="b">
        <v>0</v>
      </c>
      <c r="C56" t="s">
        <v>68</v>
      </c>
      <c r="D56">
        <v>15</v>
      </c>
      <c r="E56">
        <f t="shared" si="5"/>
        <v>84</v>
      </c>
      <c r="L56" s="1">
        <f t="shared" ca="1" si="2"/>
        <v>85.377477997832585</v>
      </c>
      <c r="M56" s="6">
        <f t="shared" ca="1" si="3"/>
        <v>3.2977289906548204E-2</v>
      </c>
      <c r="N56">
        <f t="shared" ca="1" si="4"/>
        <v>10</v>
      </c>
    </row>
    <row r="57" spans="1:14" x14ac:dyDescent="0.55000000000000004">
      <c r="A57" t="b">
        <v>0</v>
      </c>
      <c r="C57" t="s">
        <v>69</v>
      </c>
      <c r="D57">
        <v>25</v>
      </c>
      <c r="E57">
        <f t="shared" si="5"/>
        <v>74</v>
      </c>
      <c r="L57" s="1">
        <f t="shared" ca="1" si="2"/>
        <v>72.059988044993176</v>
      </c>
      <c r="M57" s="6">
        <f t="shared" ca="1" si="3"/>
        <v>2.7833372127511944E-2</v>
      </c>
      <c r="N57">
        <f t="shared" ca="1" si="4"/>
        <v>14</v>
      </c>
    </row>
    <row r="58" spans="1:14" x14ac:dyDescent="0.55000000000000004">
      <c r="A58" t="b">
        <v>0</v>
      </c>
      <c r="C58" t="s">
        <v>70</v>
      </c>
      <c r="D58">
        <v>5</v>
      </c>
      <c r="E58">
        <f t="shared" si="5"/>
        <v>94</v>
      </c>
      <c r="L58" s="1">
        <f t="shared" ca="1" si="2"/>
        <v>93.668479874578026</v>
      </c>
      <c r="M58" s="6">
        <f t="shared" ca="1" si="3"/>
        <v>3.6179712593619268E-2</v>
      </c>
      <c r="N58">
        <f t="shared" ca="1" si="4"/>
        <v>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8" r:id="rId3" name="Check Box 456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4" name="Check Box 457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5" name="Check Box 458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6" name="Check Box 459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7" name="Check Box 460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8" name="Check Box 461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9" name="Check Box 462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10" name="Check Box 463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11" name="Check Box 464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12" name="Check Box 465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13" name="Check Box 466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14" name="Check Box 467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15" name="Check Box 468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16" name="Check Box 469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17" name="Check Box 470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18" name="Check Box 471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19" name="Check Box 472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20" name="Check Box 473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21" name="Check Box 474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22" name="Check Box 475">
              <controlPr defaultSize="0" autoFill="0" autoLine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23" name="Check Box 476">
              <controlPr defaultSize="0" autoFill="0" autoLine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24" name="Check Box 477">
              <controlPr defaultSize="0" autoFill="0" autoLine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25" name="Check Box 478">
              <controlPr defaultSize="0" autoFill="0" autoLine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26" name="Check Box 479">
              <controlPr defaultSize="0" autoFill="0" autoLine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27" name="Check Box 480">
              <controlPr defaultSize="0" autoFill="0" autoLine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28" name="Check Box 481">
              <controlPr defaultSize="0" autoFill="0" autoLine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29" name="Check Box 482">
              <controlPr defaultSize="0" autoFill="0" autoLine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30" name="Check Box 483">
              <controlPr defaultSize="0" autoFill="0" autoLine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31" name="Check Box 484">
              <controlPr defaultSize="0" autoFill="0" autoLine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32" name="Check Box 485">
              <controlPr defaultSize="0" autoFill="0" autoLine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33" name="Check Box 486">
              <controlPr defaultSize="0" autoFill="0" autoLine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34" name="Check Box 487">
              <controlPr defaultSize="0" autoFill="0" autoLine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35" name="Check Box 488">
              <controlPr defaultSize="0" autoFill="0" autoLine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36" name="Check Box 489">
              <controlPr defaultSize="0" autoFill="0" autoLine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37" name="Check Box 490">
              <controlPr defaultSize="0" autoFill="0" autoLine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38" name="Check Box 491">
              <controlPr defaultSize="0" autoFill="0" autoLine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39" name="Check Box 492">
              <controlPr defaultSize="0" autoFill="0" autoLine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0" name="Check Box 493">
              <controlPr defaultSize="0" autoFill="0" autoLine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1" name="Check Box 494">
              <controlPr defaultSize="0" autoFill="0" autoLine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2" name="Check Box 495">
              <controlPr defaultSize="0" autoFill="0" autoLine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3" name="Check Box 496">
              <controlPr defaultSize="0" autoFill="0" autoLine="0" autoPict="0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4" name="Check Box 497">
              <controlPr defaultSize="0" autoFill="0" autoLine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5" name="Check Box 498">
              <controlPr defaultSize="0" autoFill="0" autoLine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46" name="Check Box 499">
              <controlPr defaultSize="0" autoFill="0" autoLine="0" autoPict="0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47" name="Check Box 500">
              <controlPr defaultSize="0" autoFill="0" autoLine="0" autoPict="0">
                <anchor mov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48" name="Check Box 501">
              <controlPr defaultSize="0" autoFill="0" autoLine="0" autoPict="0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49" name="Check Box 502">
              <controlPr defaultSize="0" autoFill="0" autoLine="0" autoPict="0">
                <anchor moveWithCells="1">
                  <from>
                    <xdr:col>1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50" name="Check Box 503">
              <controlPr defaultSize="0" autoFill="0" autoLine="0" autoPict="0">
                <anchor moveWithCells="1">
                  <from>
                    <xdr:col>1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51" name="Check Box 504">
              <controlPr defaultSize="0" autoFill="0" autoLine="0" autoPict="0">
                <anchor moveWithCells="1">
                  <from>
                    <xdr:col>1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52" name="Check Box 505">
              <controlPr defaultSize="0" autoFill="0" autoLine="0" autoPict="0">
                <anchor moveWithCells="1">
                  <from>
                    <xdr:col>1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3" name="Check Box 506">
              <controlPr defaultSize="0" autoFill="0" autoLine="0" autoPict="0">
                <anchor moveWithCells="1">
                  <from>
                    <xdr:col>1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54" name="Button 507">
              <controlPr defaultSize="0" print="0" autoFill="0" autoPict="0" macro="[0]!checkBoxClear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FF2B4-3D59-4EEA-BBD0-A2BF93086FCC}">
  <sheetPr codeName="Sheet4"/>
  <dimension ref="A2:K23"/>
  <sheetViews>
    <sheetView workbookViewId="0">
      <selection activeCell="F2" sqref="F2"/>
    </sheetView>
  </sheetViews>
  <sheetFormatPr defaultRowHeight="18" x14ac:dyDescent="0.55000000000000004"/>
  <sheetData>
    <row r="2" spans="1:11" x14ac:dyDescent="0.55000000000000004">
      <c r="A2" t="s">
        <v>11</v>
      </c>
      <c r="G2" t="s">
        <v>10</v>
      </c>
      <c r="I2" t="s">
        <v>12</v>
      </c>
      <c r="K2" t="s">
        <v>16</v>
      </c>
    </row>
    <row r="3" spans="1:11" x14ac:dyDescent="0.55000000000000004">
      <c r="G3">
        <v>3</v>
      </c>
      <c r="H3">
        <v>1</v>
      </c>
      <c r="I3">
        <f>H3/$H$19</f>
        <v>4.6296296296296294E-3</v>
      </c>
      <c r="J3">
        <f>G3*I3</f>
        <v>1.3888888888888888E-2</v>
      </c>
      <c r="K3">
        <f>G3*5</f>
        <v>15</v>
      </c>
    </row>
    <row r="4" spans="1:11" x14ac:dyDescent="0.55000000000000004">
      <c r="G4">
        <v>4</v>
      </c>
      <c r="H4">
        <v>3</v>
      </c>
      <c r="I4">
        <f t="shared" ref="I4:I18" si="0">H4/$H$19</f>
        <v>1.3888888888888888E-2</v>
      </c>
      <c r="J4">
        <f t="shared" ref="J4:J18" si="1">G4*I4</f>
        <v>5.5555555555555552E-2</v>
      </c>
      <c r="K4">
        <f t="shared" ref="K4:K18" si="2">G4*5</f>
        <v>20</v>
      </c>
    </row>
    <row r="5" spans="1:11" x14ac:dyDescent="0.55000000000000004">
      <c r="G5">
        <v>5</v>
      </c>
      <c r="H5">
        <v>6</v>
      </c>
      <c r="I5">
        <f t="shared" si="0"/>
        <v>2.7777777777777776E-2</v>
      </c>
      <c r="J5">
        <f t="shared" si="1"/>
        <v>0.1388888888888889</v>
      </c>
      <c r="K5">
        <f t="shared" si="2"/>
        <v>25</v>
      </c>
    </row>
    <row r="6" spans="1:11" x14ac:dyDescent="0.55000000000000004">
      <c r="G6">
        <v>6</v>
      </c>
      <c r="H6">
        <v>10</v>
      </c>
      <c r="I6">
        <f t="shared" si="0"/>
        <v>4.6296296296296294E-2</v>
      </c>
      <c r="J6">
        <f t="shared" si="1"/>
        <v>0.27777777777777779</v>
      </c>
      <c r="K6">
        <f t="shared" si="2"/>
        <v>30</v>
      </c>
    </row>
    <row r="7" spans="1:11" x14ac:dyDescent="0.55000000000000004">
      <c r="E7" t="s">
        <v>16</v>
      </c>
      <c r="G7">
        <v>7</v>
      </c>
      <c r="H7">
        <v>15</v>
      </c>
      <c r="I7">
        <f t="shared" si="0"/>
        <v>6.9444444444444448E-2</v>
      </c>
      <c r="J7">
        <f t="shared" si="1"/>
        <v>0.48611111111111116</v>
      </c>
      <c r="K7">
        <f t="shared" si="2"/>
        <v>35</v>
      </c>
    </row>
    <row r="8" spans="1:11" x14ac:dyDescent="0.55000000000000004">
      <c r="A8">
        <v>8</v>
      </c>
      <c r="B8">
        <v>1</v>
      </c>
      <c r="E8">
        <f>A8*5</f>
        <v>40</v>
      </c>
      <c r="G8">
        <v>8</v>
      </c>
      <c r="H8">
        <v>21</v>
      </c>
      <c r="I8">
        <f t="shared" si="0"/>
        <v>9.7222222222222224E-2</v>
      </c>
      <c r="J8">
        <f t="shared" si="1"/>
        <v>0.77777777777777779</v>
      </c>
      <c r="K8">
        <f t="shared" si="2"/>
        <v>40</v>
      </c>
    </row>
    <row r="9" spans="1:11" x14ac:dyDescent="0.55000000000000004">
      <c r="A9">
        <v>9</v>
      </c>
      <c r="B9">
        <v>2</v>
      </c>
      <c r="E9">
        <f t="shared" ref="E9:E18" si="3">A9*5</f>
        <v>45</v>
      </c>
      <c r="G9">
        <v>9</v>
      </c>
      <c r="H9">
        <v>25</v>
      </c>
      <c r="I9">
        <f t="shared" si="0"/>
        <v>0.11574074074074074</v>
      </c>
      <c r="J9">
        <f t="shared" si="1"/>
        <v>1.0416666666666667</v>
      </c>
      <c r="K9">
        <f t="shared" si="2"/>
        <v>45</v>
      </c>
    </row>
    <row r="10" spans="1:11" x14ac:dyDescent="0.55000000000000004">
      <c r="A10">
        <v>10</v>
      </c>
      <c r="B10">
        <v>3</v>
      </c>
      <c r="E10">
        <f t="shared" si="3"/>
        <v>50</v>
      </c>
      <c r="G10">
        <v>10</v>
      </c>
      <c r="H10">
        <v>27</v>
      </c>
      <c r="I10">
        <f t="shared" si="0"/>
        <v>0.125</v>
      </c>
      <c r="J10">
        <f t="shared" si="1"/>
        <v>1.25</v>
      </c>
      <c r="K10">
        <f t="shared" si="2"/>
        <v>50</v>
      </c>
    </row>
    <row r="11" spans="1:11" x14ac:dyDescent="0.55000000000000004">
      <c r="A11">
        <v>11</v>
      </c>
      <c r="B11">
        <v>4</v>
      </c>
      <c r="E11">
        <f t="shared" si="3"/>
        <v>55</v>
      </c>
      <c r="G11">
        <v>11</v>
      </c>
      <c r="H11">
        <v>27</v>
      </c>
      <c r="I11">
        <f t="shared" si="0"/>
        <v>0.125</v>
      </c>
      <c r="J11">
        <f t="shared" si="1"/>
        <v>1.375</v>
      </c>
      <c r="K11">
        <f t="shared" si="2"/>
        <v>55</v>
      </c>
    </row>
    <row r="12" spans="1:11" x14ac:dyDescent="0.55000000000000004">
      <c r="A12">
        <v>12</v>
      </c>
      <c r="B12">
        <v>5</v>
      </c>
      <c r="E12">
        <f t="shared" si="3"/>
        <v>60</v>
      </c>
      <c r="G12">
        <v>12</v>
      </c>
      <c r="H12">
        <v>25</v>
      </c>
      <c r="I12">
        <f t="shared" si="0"/>
        <v>0.11574074074074074</v>
      </c>
      <c r="J12">
        <f t="shared" si="1"/>
        <v>1.3888888888888888</v>
      </c>
      <c r="K12">
        <f t="shared" si="2"/>
        <v>60</v>
      </c>
    </row>
    <row r="13" spans="1:11" x14ac:dyDescent="0.55000000000000004">
      <c r="A13">
        <v>13</v>
      </c>
      <c r="B13">
        <v>6</v>
      </c>
      <c r="E13">
        <f t="shared" si="3"/>
        <v>65</v>
      </c>
      <c r="G13">
        <v>13</v>
      </c>
      <c r="H13">
        <v>21</v>
      </c>
      <c r="I13">
        <f t="shared" si="0"/>
        <v>9.7222222222222224E-2</v>
      </c>
      <c r="J13">
        <f t="shared" si="1"/>
        <v>1.2638888888888888</v>
      </c>
      <c r="K13">
        <f t="shared" si="2"/>
        <v>65</v>
      </c>
    </row>
    <row r="14" spans="1:11" x14ac:dyDescent="0.55000000000000004">
      <c r="A14">
        <v>14</v>
      </c>
      <c r="B14">
        <v>5</v>
      </c>
      <c r="E14">
        <f t="shared" si="3"/>
        <v>70</v>
      </c>
      <c r="G14">
        <v>14</v>
      </c>
      <c r="H14">
        <v>15</v>
      </c>
      <c r="I14">
        <f t="shared" si="0"/>
        <v>6.9444444444444448E-2</v>
      </c>
      <c r="J14">
        <f t="shared" si="1"/>
        <v>0.97222222222222232</v>
      </c>
      <c r="K14">
        <f t="shared" si="2"/>
        <v>70</v>
      </c>
    </row>
    <row r="15" spans="1:11" x14ac:dyDescent="0.55000000000000004">
      <c r="A15">
        <v>15</v>
      </c>
      <c r="B15">
        <v>4</v>
      </c>
      <c r="E15">
        <f t="shared" si="3"/>
        <v>75</v>
      </c>
      <c r="G15">
        <v>15</v>
      </c>
      <c r="H15">
        <v>10</v>
      </c>
      <c r="I15">
        <f t="shared" si="0"/>
        <v>4.6296296296296294E-2</v>
      </c>
      <c r="J15">
        <f t="shared" si="1"/>
        <v>0.69444444444444442</v>
      </c>
      <c r="K15">
        <f t="shared" si="2"/>
        <v>75</v>
      </c>
    </row>
    <row r="16" spans="1:11" x14ac:dyDescent="0.55000000000000004">
      <c r="A16">
        <v>16</v>
      </c>
      <c r="B16">
        <v>3</v>
      </c>
      <c r="E16">
        <f t="shared" si="3"/>
        <v>80</v>
      </c>
      <c r="G16">
        <v>16</v>
      </c>
      <c r="H16">
        <v>6</v>
      </c>
      <c r="I16">
        <f t="shared" si="0"/>
        <v>2.7777777777777776E-2</v>
      </c>
      <c r="J16">
        <f t="shared" si="1"/>
        <v>0.44444444444444442</v>
      </c>
      <c r="K16">
        <f t="shared" si="2"/>
        <v>80</v>
      </c>
    </row>
    <row r="17" spans="1:11" x14ac:dyDescent="0.55000000000000004">
      <c r="A17">
        <v>17</v>
      </c>
      <c r="B17">
        <v>2</v>
      </c>
      <c r="E17">
        <f t="shared" si="3"/>
        <v>85</v>
      </c>
      <c r="G17">
        <v>17</v>
      </c>
      <c r="H17">
        <v>3</v>
      </c>
      <c r="I17">
        <f t="shared" si="0"/>
        <v>1.3888888888888888E-2</v>
      </c>
      <c r="J17">
        <f t="shared" si="1"/>
        <v>0.2361111111111111</v>
      </c>
      <c r="K17">
        <f t="shared" si="2"/>
        <v>85</v>
      </c>
    </row>
    <row r="18" spans="1:11" x14ac:dyDescent="0.55000000000000004">
      <c r="A18">
        <v>18</v>
      </c>
      <c r="B18">
        <v>1</v>
      </c>
      <c r="E18">
        <f t="shared" si="3"/>
        <v>90</v>
      </c>
      <c r="G18">
        <v>18</v>
      </c>
      <c r="H18">
        <v>1</v>
      </c>
      <c r="I18">
        <f t="shared" si="0"/>
        <v>4.6296296296296294E-3</v>
      </c>
      <c r="J18">
        <f t="shared" si="1"/>
        <v>8.3333333333333329E-2</v>
      </c>
      <c r="K18">
        <f t="shared" si="2"/>
        <v>90</v>
      </c>
    </row>
    <row r="19" spans="1:11" x14ac:dyDescent="0.55000000000000004">
      <c r="A19" t="s">
        <v>9</v>
      </c>
      <c r="B19">
        <f>SUM(B3:B18)</f>
        <v>36</v>
      </c>
      <c r="G19" t="s">
        <v>9</v>
      </c>
      <c r="H19">
        <f>SUM(H3:H18)</f>
        <v>216</v>
      </c>
      <c r="I19">
        <f t="shared" ref="I19:J19" si="4">SUM(I3:I18)</f>
        <v>0.99999999999999989</v>
      </c>
      <c r="J19">
        <f t="shared" si="4"/>
        <v>10.500000000000002</v>
      </c>
      <c r="K19">
        <f>J19*5</f>
        <v>52.500000000000007</v>
      </c>
    </row>
    <row r="22" spans="1:11" x14ac:dyDescent="0.55000000000000004">
      <c r="F22" t="s">
        <v>15</v>
      </c>
      <c r="G22" t="s">
        <v>13</v>
      </c>
      <c r="H22" t="s">
        <v>14</v>
      </c>
    </row>
    <row r="23" spans="1:11" x14ac:dyDescent="0.55000000000000004">
      <c r="F23">
        <f>E8*3+K3*6</f>
        <v>210</v>
      </c>
      <c r="G23">
        <f>52.5*6+65*3</f>
        <v>510</v>
      </c>
      <c r="H23">
        <v>810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ランダム表</vt:lpstr>
      <vt:lpstr>(作成中)能力値自動割り振り</vt:lpstr>
      <vt:lpstr>期待値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宏丞 浜</dc:creator>
  <cp:lastModifiedBy>enihpled.orca@gmail.com</cp:lastModifiedBy>
  <dcterms:created xsi:type="dcterms:W3CDTF">2023-11-08T14:30:53Z</dcterms:created>
  <dcterms:modified xsi:type="dcterms:W3CDTF">2024-01-21T13:27:42Z</dcterms:modified>
</cp:coreProperties>
</file>